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https://d.docs.live.net/543990dc0ff5ce14/My Documents/Research/Working Papers/Paper - Macroeconomic Populism/"/>
    </mc:Choice>
  </mc:AlternateContent>
  <xr:revisionPtr revIDLastSave="115" documentId="8_{374FA53E-6371-4DC4-9463-D8571967F61A}" xr6:coauthVersionLast="47" xr6:coauthVersionMax="47" xr10:uidLastSave="{4FCD891B-B26D-413C-B708-2A21F4B4E3AF}"/>
  <bookViews>
    <workbookView xWindow="-98" yWindow="-98" windowWidth="22695" windowHeight="14476" activeTab="5" xr2:uid="{00000000-000D-0000-FFFF-FFFF00000000}"/>
  </bookViews>
  <sheets>
    <sheet name="DATA" sheetId="1" r:id="rId1"/>
    <sheet name="NX ENERGY" sheetId="6" r:id="rId2"/>
    <sheet name="Variables" sheetId="2" r:id="rId3"/>
    <sheet name="D&amp;E" sheetId="3" r:id="rId4"/>
    <sheet name="Complete" sheetId="4" r:id="rId5"/>
    <sheet name="ARG" sheetId="7" r:id="rId6"/>
    <sheet name="ECU" sheetId="8" r:id="rId7"/>
    <sheet name="Comparisons" sheetId="5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0" roundtripDataSignature="AMtx7mgQtzz8o/ekF5C1+UTtVg+13osixw=="/>
    </ext>
  </extLst>
</workbook>
</file>

<file path=xl/calcChain.xml><?xml version="1.0" encoding="utf-8"?>
<calcChain xmlns="http://schemas.openxmlformats.org/spreadsheetml/2006/main">
  <c r="B3" i="8" l="1"/>
  <c r="C3" i="8"/>
  <c r="D3" i="8"/>
  <c r="E3" i="8"/>
  <c r="F3" i="8"/>
  <c r="G3" i="8"/>
  <c r="H3" i="8"/>
  <c r="B4" i="8"/>
  <c r="C4" i="8"/>
  <c r="D4" i="8"/>
  <c r="E4" i="8"/>
  <c r="F4" i="8"/>
  <c r="G4" i="8"/>
  <c r="H4" i="8"/>
  <c r="B5" i="8"/>
  <c r="C5" i="8"/>
  <c r="D5" i="8"/>
  <c r="E5" i="8"/>
  <c r="F5" i="8"/>
  <c r="G5" i="8"/>
  <c r="H5" i="8"/>
  <c r="B6" i="8"/>
  <c r="C6" i="8"/>
  <c r="D6" i="8"/>
  <c r="E6" i="8"/>
  <c r="F6" i="8"/>
  <c r="G6" i="8"/>
  <c r="H6" i="8"/>
  <c r="B7" i="8"/>
  <c r="C7" i="8"/>
  <c r="D7" i="8"/>
  <c r="E7" i="8"/>
  <c r="F7" i="8"/>
  <c r="G7" i="8"/>
  <c r="H7" i="8"/>
  <c r="B8" i="8"/>
  <c r="C8" i="8"/>
  <c r="D8" i="8"/>
  <c r="E8" i="8"/>
  <c r="F8" i="8"/>
  <c r="G8" i="8"/>
  <c r="H8" i="8"/>
  <c r="B9" i="8"/>
  <c r="C9" i="8"/>
  <c r="D9" i="8"/>
  <c r="E9" i="8"/>
  <c r="F9" i="8"/>
  <c r="G9" i="8"/>
  <c r="H9" i="8"/>
  <c r="B10" i="8"/>
  <c r="C10" i="8"/>
  <c r="D10" i="8"/>
  <c r="E10" i="8"/>
  <c r="F10" i="8"/>
  <c r="G10" i="8"/>
  <c r="H10" i="8"/>
  <c r="B11" i="8"/>
  <c r="C11" i="8"/>
  <c r="D11" i="8"/>
  <c r="E11" i="8"/>
  <c r="F11" i="8"/>
  <c r="G11" i="8"/>
  <c r="H11" i="8"/>
  <c r="B12" i="8"/>
  <c r="C12" i="8"/>
  <c r="D12" i="8"/>
  <c r="E12" i="8"/>
  <c r="F12" i="8"/>
  <c r="G12" i="8"/>
  <c r="H12" i="8"/>
  <c r="B13" i="8"/>
  <c r="C13" i="8"/>
  <c r="D13" i="8"/>
  <c r="E13" i="8"/>
  <c r="F13" i="8"/>
  <c r="G13" i="8"/>
  <c r="H13" i="8"/>
  <c r="B14" i="8"/>
  <c r="C14" i="8"/>
  <c r="D14" i="8"/>
  <c r="E14" i="8"/>
  <c r="F14" i="8"/>
  <c r="G14" i="8"/>
  <c r="H14" i="8"/>
  <c r="B15" i="8"/>
  <c r="C15" i="8"/>
  <c r="D15" i="8"/>
  <c r="E15" i="8"/>
  <c r="F15" i="8"/>
  <c r="G15" i="8"/>
  <c r="H15" i="8"/>
  <c r="B16" i="8"/>
  <c r="C16" i="8"/>
  <c r="D16" i="8"/>
  <c r="E16" i="8"/>
  <c r="F16" i="8"/>
  <c r="G16" i="8"/>
  <c r="H16" i="8"/>
  <c r="B17" i="8"/>
  <c r="C17" i="8"/>
  <c r="D17" i="8"/>
  <c r="E17" i="8"/>
  <c r="F17" i="8"/>
  <c r="G17" i="8"/>
  <c r="H17" i="8"/>
  <c r="B18" i="8"/>
  <c r="C18" i="8"/>
  <c r="D18" i="8"/>
  <c r="E18" i="8"/>
  <c r="F18" i="8"/>
  <c r="G18" i="8"/>
  <c r="H18" i="8"/>
  <c r="B19" i="8"/>
  <c r="C19" i="8"/>
  <c r="D19" i="8"/>
  <c r="E19" i="8"/>
  <c r="F19" i="8"/>
  <c r="G19" i="8"/>
  <c r="H19" i="8"/>
  <c r="E20" i="8"/>
  <c r="G20" i="8"/>
  <c r="H20" i="8"/>
  <c r="H2" i="8"/>
  <c r="G2" i="8"/>
  <c r="F2" i="8"/>
  <c r="D2" i="8"/>
  <c r="C2" i="8"/>
  <c r="B2" i="8"/>
  <c r="E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" i="8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" i="7"/>
  <c r="H3" i="7" l="1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B3" i="7"/>
  <c r="C3" i="7"/>
  <c r="D3" i="7"/>
  <c r="F3" i="7"/>
  <c r="B4" i="7"/>
  <c r="C4" i="7"/>
  <c r="D4" i="7"/>
  <c r="F4" i="7"/>
  <c r="B5" i="7"/>
  <c r="C5" i="7"/>
  <c r="D5" i="7"/>
  <c r="F5" i="7"/>
  <c r="B6" i="7"/>
  <c r="C6" i="7"/>
  <c r="D6" i="7"/>
  <c r="F6" i="7"/>
  <c r="B7" i="7"/>
  <c r="C7" i="7"/>
  <c r="D7" i="7"/>
  <c r="F7" i="7"/>
  <c r="B8" i="7"/>
  <c r="C8" i="7"/>
  <c r="D8" i="7"/>
  <c r="F8" i="7"/>
  <c r="B9" i="7"/>
  <c r="C9" i="7"/>
  <c r="D9" i="7"/>
  <c r="F9" i="7"/>
  <c r="B10" i="7"/>
  <c r="C10" i="7"/>
  <c r="D10" i="7"/>
  <c r="F10" i="7"/>
  <c r="B11" i="7"/>
  <c r="C11" i="7"/>
  <c r="D11" i="7"/>
  <c r="F11" i="7"/>
  <c r="B12" i="7"/>
  <c r="C12" i="7"/>
  <c r="D12" i="7"/>
  <c r="F12" i="7"/>
  <c r="B13" i="7"/>
  <c r="C13" i="7"/>
  <c r="D13" i="7"/>
  <c r="F13" i="7"/>
  <c r="B14" i="7"/>
  <c r="C14" i="7"/>
  <c r="D14" i="7"/>
  <c r="F14" i="7"/>
  <c r="B15" i="7"/>
  <c r="C15" i="7"/>
  <c r="D15" i="7"/>
  <c r="F15" i="7"/>
  <c r="B16" i="7"/>
  <c r="C16" i="7"/>
  <c r="D16" i="7"/>
  <c r="F16" i="7"/>
  <c r="B17" i="7"/>
  <c r="C17" i="7"/>
  <c r="D17" i="7"/>
  <c r="F17" i="7"/>
  <c r="B18" i="7"/>
  <c r="C18" i="7"/>
  <c r="D18" i="7"/>
  <c r="F18" i="7"/>
  <c r="B19" i="7"/>
  <c r="C19" i="7"/>
  <c r="D19" i="7"/>
  <c r="F19" i="7"/>
  <c r="B20" i="7"/>
  <c r="C20" i="7"/>
  <c r="D20" i="7"/>
  <c r="F20" i="7"/>
  <c r="B21" i="7"/>
  <c r="C21" i="7"/>
  <c r="D21" i="7"/>
  <c r="F21" i="7"/>
  <c r="B22" i="7"/>
  <c r="C22" i="7"/>
  <c r="D22" i="7"/>
  <c r="F22" i="7"/>
  <c r="B23" i="7"/>
  <c r="C23" i="7"/>
  <c r="D23" i="7"/>
  <c r="F23" i="7"/>
  <c r="B24" i="7"/>
  <c r="C24" i="7"/>
  <c r="D24" i="7"/>
  <c r="F24" i="7"/>
  <c r="B25" i="7"/>
  <c r="C25" i="7"/>
  <c r="D25" i="7"/>
  <c r="F25" i="7"/>
  <c r="B26" i="7"/>
  <c r="C26" i="7"/>
  <c r="D26" i="7"/>
  <c r="F26" i="7"/>
  <c r="H2" i="7"/>
  <c r="F2" i="7"/>
  <c r="D2" i="7"/>
  <c r="C2" i="7"/>
  <c r="B2" i="7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" i="7"/>
  <c r="AA19" i="5"/>
  <c r="AA20" i="5"/>
  <c r="AA21" i="5"/>
  <c r="AA22" i="5"/>
  <c r="AA23" i="5"/>
  <c r="AA24" i="5"/>
  <c r="X19" i="5"/>
  <c r="W19" i="5"/>
  <c r="W20" i="5"/>
  <c r="W21" i="5"/>
  <c r="W22" i="5"/>
  <c r="W5" i="5"/>
  <c r="X5" i="5"/>
  <c r="Y5" i="5"/>
  <c r="Z5" i="5"/>
  <c r="AA5" i="5"/>
  <c r="W6" i="5"/>
  <c r="X6" i="5"/>
  <c r="Y6" i="5"/>
  <c r="Z6" i="5"/>
  <c r="AA6" i="5"/>
  <c r="W7" i="5"/>
  <c r="X7" i="5"/>
  <c r="Y7" i="5"/>
  <c r="Z7" i="5"/>
  <c r="AA7" i="5"/>
  <c r="W8" i="5"/>
  <c r="X8" i="5"/>
  <c r="Y8" i="5"/>
  <c r="Z8" i="5"/>
  <c r="AA8" i="5"/>
  <c r="W9" i="5"/>
  <c r="X9" i="5"/>
  <c r="Y9" i="5"/>
  <c r="Z9" i="5"/>
  <c r="AA9" i="5"/>
  <c r="W10" i="5"/>
  <c r="X10" i="5"/>
  <c r="Y10" i="5"/>
  <c r="Z10" i="5"/>
  <c r="AA10" i="5"/>
  <c r="W11" i="5"/>
  <c r="X11" i="5"/>
  <c r="Y11" i="5"/>
  <c r="Z11" i="5"/>
  <c r="AA11" i="5"/>
  <c r="W12" i="5"/>
  <c r="X12" i="5"/>
  <c r="Y12" i="5"/>
  <c r="Z12" i="5"/>
  <c r="AA12" i="5"/>
  <c r="W13" i="5"/>
  <c r="X13" i="5"/>
  <c r="Y13" i="5"/>
  <c r="Z13" i="5"/>
  <c r="AA13" i="5"/>
  <c r="W14" i="5"/>
  <c r="X14" i="5"/>
  <c r="Y14" i="5"/>
  <c r="Z14" i="5"/>
  <c r="AA14" i="5"/>
  <c r="W15" i="5"/>
  <c r="X15" i="5"/>
  <c r="Y15" i="5"/>
  <c r="Z15" i="5"/>
  <c r="AA15" i="5"/>
  <c r="W16" i="5"/>
  <c r="X16" i="5"/>
  <c r="Y16" i="5"/>
  <c r="Z16" i="5"/>
  <c r="AA16" i="5"/>
  <c r="W17" i="5"/>
  <c r="X17" i="5"/>
  <c r="Y17" i="5"/>
  <c r="Z17" i="5"/>
  <c r="AA17" i="5"/>
  <c r="W18" i="5"/>
  <c r="X18" i="5"/>
  <c r="Y18" i="5"/>
  <c r="Z18" i="5"/>
  <c r="AA18" i="5"/>
  <c r="AA4" i="5"/>
  <c r="Z4" i="5"/>
  <c r="Y4" i="5"/>
  <c r="X4" i="5"/>
  <c r="W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4" i="5"/>
  <c r="C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4" i="5"/>
  <c r="I4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T5" i="5"/>
  <c r="T6" i="5"/>
  <c r="T7" i="5"/>
  <c r="T8" i="5"/>
  <c r="T9" i="5"/>
  <c r="T10" i="5"/>
  <c r="T11" i="5"/>
  <c r="T12" i="5"/>
  <c r="T13" i="5"/>
  <c r="T14" i="5"/>
  <c r="T15" i="5"/>
  <c r="T16" i="5"/>
  <c r="T17" i="5"/>
  <c r="T18" i="5"/>
  <c r="T19" i="5"/>
  <c r="T20" i="5"/>
  <c r="T21" i="5"/>
  <c r="T22" i="5"/>
  <c r="T23" i="5"/>
  <c r="T2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4" i="5"/>
  <c r="T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1" i="5"/>
  <c r="K4" i="5"/>
  <c r="J4" i="5"/>
  <c r="AR8" i="4"/>
  <c r="AR12" i="4"/>
  <c r="AR16" i="4"/>
  <c r="AR20" i="4"/>
  <c r="AR24" i="4"/>
  <c r="AR28" i="4"/>
  <c r="AP5" i="4"/>
  <c r="AR5" i="4" s="1"/>
  <c r="AP6" i="4"/>
  <c r="AR6" i="4" s="1"/>
  <c r="AP7" i="4"/>
  <c r="AR7" i="4" s="1"/>
  <c r="AP8" i="4"/>
  <c r="AP9" i="4"/>
  <c r="AR9" i="4" s="1"/>
  <c r="AP10" i="4"/>
  <c r="AR10" i="4" s="1"/>
  <c r="AP11" i="4"/>
  <c r="AR11" i="4" s="1"/>
  <c r="AP12" i="4"/>
  <c r="AP13" i="4"/>
  <c r="AR13" i="4" s="1"/>
  <c r="AP14" i="4"/>
  <c r="AR14" i="4" s="1"/>
  <c r="AP15" i="4"/>
  <c r="AR15" i="4" s="1"/>
  <c r="AP16" i="4"/>
  <c r="AP17" i="4"/>
  <c r="AR17" i="4" s="1"/>
  <c r="AP18" i="4"/>
  <c r="AR18" i="4" s="1"/>
  <c r="AP19" i="4"/>
  <c r="AR19" i="4" s="1"/>
  <c r="AP20" i="4"/>
  <c r="AP21" i="4"/>
  <c r="AR21" i="4" s="1"/>
  <c r="AP22" i="4"/>
  <c r="AR22" i="4" s="1"/>
  <c r="AP23" i="4"/>
  <c r="AR23" i="4" s="1"/>
  <c r="AP24" i="4"/>
  <c r="AP25" i="4"/>
  <c r="AR25" i="4" s="1"/>
  <c r="AP26" i="4"/>
  <c r="AR26" i="4" s="1"/>
  <c r="AP27" i="4"/>
  <c r="AR27" i="4" s="1"/>
  <c r="AP28" i="4"/>
  <c r="AP4" i="4"/>
  <c r="AR4" i="4" s="1"/>
  <c r="AM5" i="4"/>
  <c r="AM6" i="4"/>
  <c r="AM7" i="4"/>
  <c r="AM8" i="4"/>
  <c r="AM9" i="4"/>
  <c r="AM10" i="4"/>
  <c r="AM11" i="4"/>
  <c r="AM12" i="4"/>
  <c r="AM13" i="4"/>
  <c r="AM14" i="4"/>
  <c r="AM15" i="4"/>
  <c r="AM16" i="4"/>
  <c r="AM17" i="4"/>
  <c r="AM18" i="4"/>
  <c r="AM19" i="4"/>
  <c r="AM20" i="4"/>
  <c r="AM21" i="4"/>
  <c r="AM22" i="4"/>
  <c r="AM23" i="4"/>
  <c r="AM24" i="4"/>
  <c r="AM25" i="4"/>
  <c r="AM26" i="4"/>
  <c r="AM27" i="4"/>
  <c r="AM28" i="4"/>
  <c r="AM4" i="4"/>
  <c r="AG6" i="4"/>
  <c r="AG8" i="4"/>
  <c r="AG10" i="4"/>
  <c r="AG12" i="4"/>
  <c r="AI12" i="4" s="1"/>
  <c r="AG14" i="4"/>
  <c r="AI14" i="4" s="1"/>
  <c r="AG16" i="4"/>
  <c r="AG18" i="4"/>
  <c r="AG20" i="4"/>
  <c r="AI20" i="4" s="1"/>
  <c r="AG22" i="4"/>
  <c r="AI22" i="4" s="1"/>
  <c r="AG24" i="4"/>
  <c r="AG26" i="4"/>
  <c r="AG28" i="4"/>
  <c r="AI28" i="4" s="1"/>
  <c r="AI6" i="4"/>
  <c r="AI8" i="4"/>
  <c r="AI10" i="4"/>
  <c r="AI16" i="4"/>
  <c r="AI18" i="4"/>
  <c r="AI24" i="4"/>
  <c r="AI26" i="4"/>
  <c r="AD28" i="4"/>
  <c r="AD5" i="4"/>
  <c r="AG5" i="4" s="1"/>
  <c r="AI5" i="4" s="1"/>
  <c r="AD6" i="4"/>
  <c r="AD7" i="4"/>
  <c r="AG7" i="4" s="1"/>
  <c r="AI7" i="4" s="1"/>
  <c r="AD8" i="4"/>
  <c r="AD9" i="4"/>
  <c r="AG9" i="4" s="1"/>
  <c r="AI9" i="4" s="1"/>
  <c r="AD10" i="4"/>
  <c r="AD11" i="4"/>
  <c r="AG11" i="4" s="1"/>
  <c r="AI11" i="4" s="1"/>
  <c r="AD12" i="4"/>
  <c r="AD13" i="4"/>
  <c r="AG13" i="4" s="1"/>
  <c r="AI13" i="4" s="1"/>
  <c r="AD14" i="4"/>
  <c r="AD15" i="4"/>
  <c r="AG15" i="4" s="1"/>
  <c r="AI15" i="4" s="1"/>
  <c r="AD16" i="4"/>
  <c r="AD17" i="4"/>
  <c r="AG17" i="4" s="1"/>
  <c r="AI17" i="4" s="1"/>
  <c r="AD18" i="4"/>
  <c r="AD19" i="4"/>
  <c r="AG19" i="4" s="1"/>
  <c r="AI19" i="4" s="1"/>
  <c r="AD20" i="4"/>
  <c r="AD21" i="4"/>
  <c r="AG21" i="4" s="1"/>
  <c r="AI21" i="4" s="1"/>
  <c r="AD22" i="4"/>
  <c r="AD23" i="4"/>
  <c r="AG23" i="4" s="1"/>
  <c r="AI23" i="4" s="1"/>
  <c r="AD24" i="4"/>
  <c r="AD25" i="4"/>
  <c r="AG25" i="4" s="1"/>
  <c r="AI25" i="4" s="1"/>
  <c r="AD26" i="4"/>
  <c r="AD27" i="4"/>
  <c r="AG27" i="4" s="1"/>
  <c r="AI27" i="4" s="1"/>
  <c r="AD4" i="4"/>
  <c r="AG4" i="4" s="1"/>
  <c r="AI4" i="4" s="1"/>
  <c r="U5" i="4"/>
  <c r="X5" i="4" s="1"/>
  <c r="Z5" i="4" s="1"/>
  <c r="U6" i="4"/>
  <c r="X6" i="4" s="1"/>
  <c r="Z6" i="4" s="1"/>
  <c r="U7" i="4"/>
  <c r="X7" i="4" s="1"/>
  <c r="Z7" i="4" s="1"/>
  <c r="U8" i="4"/>
  <c r="X8" i="4" s="1"/>
  <c r="Z8" i="4" s="1"/>
  <c r="U9" i="4"/>
  <c r="X9" i="4" s="1"/>
  <c r="Z9" i="4" s="1"/>
  <c r="U10" i="4"/>
  <c r="X10" i="4" s="1"/>
  <c r="Z10" i="4" s="1"/>
  <c r="U11" i="4"/>
  <c r="X11" i="4" s="1"/>
  <c r="Z11" i="4" s="1"/>
  <c r="U12" i="4"/>
  <c r="X12" i="4" s="1"/>
  <c r="Z12" i="4" s="1"/>
  <c r="U13" i="4"/>
  <c r="X13" i="4" s="1"/>
  <c r="Z13" i="4" s="1"/>
  <c r="U14" i="4"/>
  <c r="X14" i="4" s="1"/>
  <c r="Z14" i="4" s="1"/>
  <c r="U15" i="4"/>
  <c r="X15" i="4" s="1"/>
  <c r="Z15" i="4" s="1"/>
  <c r="U16" i="4"/>
  <c r="X16" i="4" s="1"/>
  <c r="Z16" i="4" s="1"/>
  <c r="U17" i="4"/>
  <c r="X17" i="4" s="1"/>
  <c r="Z17" i="4" s="1"/>
  <c r="U18" i="4"/>
  <c r="X18" i="4" s="1"/>
  <c r="Z18" i="4" s="1"/>
  <c r="U19" i="4"/>
  <c r="X19" i="4" s="1"/>
  <c r="Z19" i="4" s="1"/>
  <c r="U20" i="4"/>
  <c r="X20" i="4" s="1"/>
  <c r="Z20" i="4" s="1"/>
  <c r="U21" i="4"/>
  <c r="X21" i="4" s="1"/>
  <c r="Z21" i="4" s="1"/>
  <c r="U22" i="4"/>
  <c r="X22" i="4" s="1"/>
  <c r="Z22" i="4" s="1"/>
  <c r="U23" i="4"/>
  <c r="X23" i="4" s="1"/>
  <c r="Z23" i="4" s="1"/>
  <c r="U24" i="4"/>
  <c r="X24" i="4" s="1"/>
  <c r="Z24" i="4" s="1"/>
  <c r="U25" i="4"/>
  <c r="X25" i="4" s="1"/>
  <c r="Z25" i="4" s="1"/>
  <c r="U26" i="4"/>
  <c r="X26" i="4" s="1"/>
  <c r="Z26" i="4" s="1"/>
  <c r="U27" i="4"/>
  <c r="X27" i="4" s="1"/>
  <c r="Z27" i="4" s="1"/>
  <c r="U28" i="4"/>
  <c r="X28" i="4" s="1"/>
  <c r="Z28" i="4" s="1"/>
  <c r="U4" i="4"/>
  <c r="X4" i="4" s="1"/>
  <c r="Z4" i="4" s="1"/>
  <c r="L5" i="4"/>
  <c r="O5" i="4" s="1"/>
  <c r="Q5" i="4" s="1"/>
  <c r="L6" i="4"/>
  <c r="O6" i="4" s="1"/>
  <c r="Q6" i="4" s="1"/>
  <c r="L7" i="4"/>
  <c r="O7" i="4" s="1"/>
  <c r="Q7" i="4" s="1"/>
  <c r="L8" i="4"/>
  <c r="O8" i="4" s="1"/>
  <c r="Q8" i="4" s="1"/>
  <c r="L9" i="4"/>
  <c r="O9" i="4" s="1"/>
  <c r="Q9" i="4" s="1"/>
  <c r="L10" i="4"/>
  <c r="O10" i="4" s="1"/>
  <c r="Q10" i="4" s="1"/>
  <c r="L11" i="4"/>
  <c r="O11" i="4" s="1"/>
  <c r="Q11" i="4" s="1"/>
  <c r="L12" i="4"/>
  <c r="O12" i="4" s="1"/>
  <c r="Q12" i="4" s="1"/>
  <c r="L13" i="4"/>
  <c r="O13" i="4" s="1"/>
  <c r="Q13" i="4" s="1"/>
  <c r="L14" i="4"/>
  <c r="O14" i="4" s="1"/>
  <c r="Q14" i="4" s="1"/>
  <c r="L15" i="4"/>
  <c r="O15" i="4" s="1"/>
  <c r="Q15" i="4" s="1"/>
  <c r="L16" i="4"/>
  <c r="O16" i="4" s="1"/>
  <c r="Q16" i="4" s="1"/>
  <c r="L17" i="4"/>
  <c r="O17" i="4" s="1"/>
  <c r="Q17" i="4" s="1"/>
  <c r="L18" i="4"/>
  <c r="O18" i="4" s="1"/>
  <c r="Q18" i="4" s="1"/>
  <c r="L19" i="4"/>
  <c r="O19" i="4" s="1"/>
  <c r="Q19" i="4" s="1"/>
  <c r="L20" i="4"/>
  <c r="O20" i="4" s="1"/>
  <c r="Q20" i="4" s="1"/>
  <c r="L21" i="4"/>
  <c r="O21" i="4" s="1"/>
  <c r="Q21" i="4" s="1"/>
  <c r="L22" i="4"/>
  <c r="O22" i="4" s="1"/>
  <c r="Q22" i="4" s="1"/>
  <c r="L23" i="4"/>
  <c r="O23" i="4" s="1"/>
  <c r="Q23" i="4" s="1"/>
  <c r="L24" i="4"/>
  <c r="O24" i="4" s="1"/>
  <c r="Q24" i="4" s="1"/>
  <c r="L25" i="4"/>
  <c r="O25" i="4" s="1"/>
  <c r="Q25" i="4" s="1"/>
  <c r="L26" i="4"/>
  <c r="O26" i="4" s="1"/>
  <c r="Q26" i="4" s="1"/>
  <c r="L27" i="4"/>
  <c r="O27" i="4" s="1"/>
  <c r="Q27" i="4" s="1"/>
  <c r="L28" i="4"/>
  <c r="O28" i="4" s="1"/>
  <c r="Q28" i="4" s="1"/>
  <c r="L4" i="4"/>
  <c r="O4" i="4" s="1"/>
  <c r="Q4" i="4" s="1"/>
  <c r="F5" i="4"/>
  <c r="H5" i="4" s="1"/>
  <c r="C5" i="4"/>
  <c r="C6" i="4"/>
  <c r="F6" i="4" s="1"/>
  <c r="H6" i="4" s="1"/>
  <c r="C7" i="4"/>
  <c r="F7" i="4" s="1"/>
  <c r="H7" i="4" s="1"/>
  <c r="C8" i="4"/>
  <c r="F8" i="4" s="1"/>
  <c r="H8" i="4" s="1"/>
  <c r="C9" i="4"/>
  <c r="F9" i="4" s="1"/>
  <c r="H9" i="4" s="1"/>
  <c r="C10" i="4"/>
  <c r="F10" i="4" s="1"/>
  <c r="H10" i="4" s="1"/>
  <c r="C11" i="4"/>
  <c r="F11" i="4" s="1"/>
  <c r="H11" i="4" s="1"/>
  <c r="C12" i="4"/>
  <c r="F12" i="4" s="1"/>
  <c r="H12" i="4" s="1"/>
  <c r="C13" i="4"/>
  <c r="F13" i="4" s="1"/>
  <c r="H13" i="4" s="1"/>
  <c r="C14" i="4"/>
  <c r="F14" i="4" s="1"/>
  <c r="H14" i="4" s="1"/>
  <c r="C15" i="4"/>
  <c r="F15" i="4" s="1"/>
  <c r="H15" i="4" s="1"/>
  <c r="C16" i="4"/>
  <c r="F16" i="4" s="1"/>
  <c r="H16" i="4" s="1"/>
  <c r="C17" i="4"/>
  <c r="F17" i="4" s="1"/>
  <c r="H17" i="4" s="1"/>
  <c r="C18" i="4"/>
  <c r="F18" i="4" s="1"/>
  <c r="H18" i="4" s="1"/>
  <c r="C19" i="4"/>
  <c r="F19" i="4" s="1"/>
  <c r="H19" i="4" s="1"/>
  <c r="C20" i="4"/>
  <c r="F20" i="4" s="1"/>
  <c r="H20" i="4" s="1"/>
  <c r="C21" i="4"/>
  <c r="F21" i="4" s="1"/>
  <c r="H21" i="4" s="1"/>
  <c r="C22" i="4"/>
  <c r="F22" i="4" s="1"/>
  <c r="H22" i="4" s="1"/>
  <c r="C23" i="4"/>
  <c r="F23" i="4" s="1"/>
  <c r="H23" i="4" s="1"/>
  <c r="C24" i="4"/>
  <c r="F24" i="4" s="1"/>
  <c r="H24" i="4" s="1"/>
  <c r="C25" i="4"/>
  <c r="F25" i="4" s="1"/>
  <c r="H25" i="4" s="1"/>
  <c r="C26" i="4"/>
  <c r="F26" i="4" s="1"/>
  <c r="H26" i="4" s="1"/>
  <c r="C27" i="4"/>
  <c r="F27" i="4" s="1"/>
  <c r="H27" i="4" s="1"/>
  <c r="C28" i="4"/>
  <c r="F28" i="4" s="1"/>
  <c r="H28" i="4" s="1"/>
  <c r="C29" i="4"/>
  <c r="C30" i="4"/>
  <c r="C4" i="4"/>
  <c r="F4" i="4" s="1"/>
  <c r="H4" i="4" s="1"/>
</calcChain>
</file>

<file path=xl/sharedStrings.xml><?xml version="1.0" encoding="utf-8"?>
<sst xmlns="http://schemas.openxmlformats.org/spreadsheetml/2006/main" count="396" uniqueCount="85">
  <si>
    <t>CEPAL</t>
  </si>
  <si>
    <t>PWT</t>
  </si>
  <si>
    <t>ARGENTINA</t>
  </si>
  <si>
    <t>BOLIVIA</t>
  </si>
  <si>
    <t>ECUADOR</t>
  </si>
  <si>
    <t>NICARAGUA</t>
  </si>
  <si>
    <t>VENEZUELA</t>
  </si>
  <si>
    <t>GDP per capita</t>
  </si>
  <si>
    <t>Real wages</t>
  </si>
  <si>
    <t>Fx black market</t>
  </si>
  <si>
    <t>Gov. Revenue (%GDP)</t>
  </si>
  <si>
    <t>Gov. Revenue (%GDP) (including social contributions)</t>
  </si>
  <si>
    <t>Gov. Spending (%GDP)</t>
  </si>
  <si>
    <t>Budget deficit</t>
  </si>
  <si>
    <t>Reserves</t>
  </si>
  <si>
    <t>Gov. Revenue</t>
  </si>
  <si>
    <t>Gov. Spending</t>
  </si>
  <si>
    <t>Inflation</t>
  </si>
  <si>
    <t>CEPAL offers it only in USD</t>
  </si>
  <si>
    <t>This info is not in the CEPAL web</t>
  </si>
  <si>
    <t>Cepal doesn't have this info either.</t>
  </si>
  <si>
    <t>NA</t>
  </si>
  <si>
    <t>Variable</t>
  </si>
  <si>
    <t>Description</t>
  </si>
  <si>
    <t>Source</t>
  </si>
  <si>
    <t>Link</t>
  </si>
  <si>
    <t>GDP per Capita</t>
  </si>
  <si>
    <t>Real GDP at constant 2017 national prices (in mil. 2017US$) / Population</t>
  </si>
  <si>
    <t>Gov Spending</t>
  </si>
  <si>
    <t>Share of Government Consumption * Real GDP at constant 2017 national prices (in mil. 2017US$)</t>
  </si>
  <si>
    <t>Real Wages</t>
  </si>
  <si>
    <t>Share of labour compensation in GDP at current national prices * Real GDP at constant 2017 national prices / Number of persons engaged (in millions)</t>
  </si>
  <si>
    <t>Total reserves (includes gold, current US$)</t>
  </si>
  <si>
    <t>IMF</t>
  </si>
  <si>
    <t>https://data.worldbank.org/indicator/FI.RES.TOTL.CD</t>
  </si>
  <si>
    <t>Exchange Rate</t>
  </si>
  <si>
    <t>Exchange rate, national currency/USD (market+estimated)</t>
  </si>
  <si>
    <t>Inflation, consumer prices (annual %)</t>
  </si>
  <si>
    <t>https://data.worldbank.org/indicator/FP.CPI.TOTL.ZG</t>
  </si>
  <si>
    <t>Tax revenue is composed of compulsory transfers to the central  government sector. (As a percentage of gross domestic product)</t>
  </si>
  <si>
    <t>Gov. Spending(%GDP)</t>
  </si>
  <si>
    <t>Total expenditures of the central government as % of GDP</t>
  </si>
  <si>
    <t>Tax revenue is composed of compulsory transfers to the central  government sector including social contributions. (As a percentage of gross domestic product)</t>
  </si>
  <si>
    <t>t</t>
  </si>
  <si>
    <t>GDP</t>
  </si>
  <si>
    <t>Argentina</t>
  </si>
  <si>
    <t>Bolivia</t>
  </si>
  <si>
    <t>Ecuador</t>
  </si>
  <si>
    <t>Nicaragua</t>
  </si>
  <si>
    <t>Venezuela</t>
  </si>
  <si>
    <t>Period</t>
  </si>
  <si>
    <t>t-3</t>
  </si>
  <si>
    <t>t-2</t>
  </si>
  <si>
    <t>t-1</t>
  </si>
  <si>
    <t>t+1</t>
  </si>
  <si>
    <t>t+2</t>
  </si>
  <si>
    <t>t+3</t>
  </si>
  <si>
    <t>t+4</t>
  </si>
  <si>
    <t>t+5</t>
  </si>
  <si>
    <t>t+6</t>
  </si>
  <si>
    <t>t+7</t>
  </si>
  <si>
    <t>t+8</t>
  </si>
  <si>
    <t>t+10</t>
  </si>
  <si>
    <t>t+9</t>
  </si>
  <si>
    <t>t+11</t>
  </si>
  <si>
    <t>t+12</t>
  </si>
  <si>
    <t>t+13</t>
  </si>
  <si>
    <t>t+14</t>
  </si>
  <si>
    <t>t+15</t>
  </si>
  <si>
    <t>t+16</t>
  </si>
  <si>
    <t>t+17</t>
  </si>
  <si>
    <t>t+18</t>
  </si>
  <si>
    <t>t+19</t>
  </si>
  <si>
    <t>t+20</t>
  </si>
  <si>
    <t>t+21</t>
  </si>
  <si>
    <t>GDP Per Capita</t>
  </si>
  <si>
    <t>YEAR</t>
  </si>
  <si>
    <t>RGDP</t>
  </si>
  <si>
    <t>REAL_WAGE</t>
  </si>
  <si>
    <t>RESERVES</t>
  </si>
  <si>
    <t>RGDP_CAP</t>
  </si>
  <si>
    <t>DEFICIT</t>
  </si>
  <si>
    <t>INFLATION</t>
  </si>
  <si>
    <t>NX_ENERGY</t>
  </si>
  <si>
    <t>GOV_SPENDING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</si>
</sst>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#,##0.0"/>
  </numFmts>
  <fonts count="15" x14ac:knownFonts="1">
    <font>
      <sz val="11"/>
      <color theme="1"/>
      <name val="Calibri"/>
    </font>
    <font>
      <sz val="11"/>
      <color theme="0"/>
      <name val="Calibri"/>
      <family val="2"/>
    </font>
    <font>
      <b/>
      <sz val="12"/>
      <color theme="0"/>
      <name val="Calibri"/>
      <family val="2"/>
    </font>
    <font>
      <sz val="12"/>
      <color theme="0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u/>
      <sz val="12"/>
      <color theme="1"/>
      <name val="Calibri"/>
      <family val="2"/>
    </font>
    <font>
      <u/>
      <sz val="11"/>
      <color theme="10"/>
      <name val="Calibri"/>
      <family val="2"/>
    </font>
    <font>
      <b/>
      <sz val="11"/>
      <color theme="1"/>
      <name val="Calibri"/>
      <family val="2"/>
    </font>
    <font>
      <sz val="8"/>
      <name val="Calibri"/>
      <family val="2"/>
    </font>
    <font>
      <b/>
      <sz val="11"/>
      <color theme="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222A35"/>
        <bgColor rgb="FF222A35"/>
      </patternFill>
    </fill>
    <fill>
      <patternFill patternType="solid">
        <fgColor rgb="FF385623"/>
        <bgColor rgb="FF385623"/>
      </patternFill>
    </fill>
    <fill>
      <patternFill patternType="solid">
        <fgColor rgb="FFD0CECE"/>
        <bgColor rgb="FFD0CECE"/>
      </patternFill>
    </fill>
    <fill>
      <patternFill patternType="solid">
        <fgColor rgb="FFD6DCE4"/>
        <bgColor rgb="FFD6DCE4"/>
      </patternFill>
    </fill>
    <fill>
      <patternFill patternType="solid">
        <fgColor rgb="FFFEF2CB"/>
        <bgColor rgb="FFFEF2CB"/>
      </patternFill>
    </fill>
    <fill>
      <patternFill patternType="solid">
        <fgColor rgb="FFE2EFD9"/>
        <bgColor rgb="FFE2EFD9"/>
      </patternFill>
    </fill>
    <fill>
      <patternFill patternType="solid">
        <fgColor rgb="FFFBE4D5"/>
        <bgColor rgb="FFFBE4D5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theme="1"/>
        <bgColor indexed="64"/>
      </patternFill>
    </fill>
  </fills>
  <borders count="37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ck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thick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 style="thin">
        <color indexed="64"/>
      </left>
      <right/>
      <top style="thick">
        <color rgb="FF000000"/>
      </top>
      <bottom/>
      <diagonal/>
    </border>
    <border>
      <left style="thin">
        <color indexed="64"/>
      </left>
      <right/>
      <top/>
      <bottom style="thick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141">
    <xf numFmtId="0" fontId="0" fillId="0" borderId="0" xfId="0" applyFont="1" applyAlignment="1"/>
    <xf numFmtId="0" fontId="1" fillId="2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3" fillId="4" borderId="2" xfId="0" applyFont="1" applyFill="1" applyBorder="1"/>
    <xf numFmtId="0" fontId="3" fillId="4" borderId="3" xfId="0" applyFont="1" applyFill="1" applyBorder="1"/>
    <xf numFmtId="0" fontId="1" fillId="2" borderId="4" xfId="0" applyFont="1" applyFill="1" applyBorder="1"/>
    <xf numFmtId="0" fontId="5" fillId="0" borderId="0" xfId="0" applyFont="1"/>
    <xf numFmtId="0" fontId="1" fillId="2" borderId="11" xfId="0" applyFont="1" applyFill="1" applyBorder="1"/>
    <xf numFmtId="0" fontId="0" fillId="5" borderId="12" xfId="0" applyFont="1" applyFill="1" applyBorder="1"/>
    <xf numFmtId="0" fontId="0" fillId="5" borderId="12" xfId="0" applyFont="1" applyFill="1" applyBorder="1" applyAlignment="1">
      <alignment wrapText="1"/>
    </xf>
    <xf numFmtId="0" fontId="0" fillId="5" borderId="13" xfId="0" applyFont="1" applyFill="1" applyBorder="1"/>
    <xf numFmtId="0" fontId="0" fillId="6" borderId="12" xfId="0" applyFont="1" applyFill="1" applyBorder="1"/>
    <xf numFmtId="0" fontId="0" fillId="6" borderId="12" xfId="0" applyFont="1" applyFill="1" applyBorder="1" applyAlignment="1">
      <alignment wrapText="1"/>
    </xf>
    <xf numFmtId="0" fontId="0" fillId="7" borderId="14" xfId="0" applyFont="1" applyFill="1" applyBorder="1"/>
    <xf numFmtId="0" fontId="0" fillId="7" borderId="12" xfId="0" applyFont="1" applyFill="1" applyBorder="1"/>
    <xf numFmtId="0" fontId="0" fillId="7" borderId="12" xfId="0" applyFont="1" applyFill="1" applyBorder="1" applyAlignment="1">
      <alignment wrapText="1"/>
    </xf>
    <xf numFmtId="0" fontId="0" fillId="7" borderId="13" xfId="0" applyFont="1" applyFill="1" applyBorder="1"/>
    <xf numFmtId="0" fontId="0" fillId="8" borderId="12" xfId="0" applyFont="1" applyFill="1" applyBorder="1"/>
    <xf numFmtId="0" fontId="0" fillId="8" borderId="12" xfId="0" applyFont="1" applyFill="1" applyBorder="1" applyAlignment="1">
      <alignment wrapText="1"/>
    </xf>
    <xf numFmtId="0" fontId="0" fillId="9" borderId="14" xfId="0" applyFont="1" applyFill="1" applyBorder="1"/>
    <xf numFmtId="0" fontId="0" fillId="9" borderId="12" xfId="0" applyFont="1" applyFill="1" applyBorder="1"/>
    <xf numFmtId="0" fontId="0" fillId="9" borderId="12" xfId="0" applyFont="1" applyFill="1" applyBorder="1" applyAlignment="1">
      <alignment wrapText="1"/>
    </xf>
    <xf numFmtId="0" fontId="0" fillId="9" borderId="15" xfId="0" applyFont="1" applyFill="1" applyBorder="1"/>
    <xf numFmtId="0" fontId="0" fillId="9" borderId="16" xfId="0" applyFont="1" applyFill="1" applyBorder="1"/>
    <xf numFmtId="0" fontId="0" fillId="10" borderId="17" xfId="0" applyFont="1" applyFill="1" applyBorder="1" applyAlignment="1">
      <alignment wrapText="1"/>
    </xf>
    <xf numFmtId="0" fontId="0" fillId="10" borderId="17" xfId="0" applyFont="1" applyFill="1" applyBorder="1" applyAlignment="1">
      <alignment wrapText="1"/>
    </xf>
    <xf numFmtId="0" fontId="0" fillId="10" borderId="17" xfId="0" applyFont="1" applyFill="1" applyBorder="1" applyAlignment="1">
      <alignment horizontal="center"/>
    </xf>
    <xf numFmtId="0" fontId="0" fillId="10" borderId="17" xfId="0" applyFont="1" applyFill="1" applyBorder="1" applyAlignment="1">
      <alignment horizontal="center" wrapText="1"/>
    </xf>
    <xf numFmtId="0" fontId="0" fillId="10" borderId="18" xfId="0" applyFont="1" applyFill="1" applyBorder="1" applyAlignment="1">
      <alignment horizontal="center" wrapText="1"/>
    </xf>
    <xf numFmtId="0" fontId="0" fillId="10" borderId="19" xfId="0" applyFont="1" applyFill="1" applyBorder="1" applyAlignment="1">
      <alignment wrapText="1"/>
    </xf>
    <xf numFmtId="44" fontId="0" fillId="10" borderId="17" xfId="0" applyNumberFormat="1" applyFont="1" applyFill="1" applyBorder="1"/>
    <xf numFmtId="44" fontId="0" fillId="10" borderId="20" xfId="0" applyNumberFormat="1" applyFont="1" applyFill="1" applyBorder="1"/>
    <xf numFmtId="43" fontId="0" fillId="10" borderId="17" xfId="0" applyNumberFormat="1" applyFont="1" applyFill="1" applyBorder="1"/>
    <xf numFmtId="44" fontId="0" fillId="10" borderId="21" xfId="0" applyNumberFormat="1" applyFont="1" applyFill="1" applyBorder="1"/>
    <xf numFmtId="0" fontId="0" fillId="10" borderId="17" xfId="0" applyFont="1" applyFill="1" applyBorder="1"/>
    <xf numFmtId="0" fontId="0" fillId="10" borderId="17" xfId="0" applyFont="1" applyFill="1" applyBorder="1" applyAlignment="1">
      <alignment horizontal="center"/>
    </xf>
    <xf numFmtId="0" fontId="0" fillId="10" borderId="18" xfId="0" applyFont="1" applyFill="1" applyBorder="1" applyAlignment="1">
      <alignment horizontal="center"/>
    </xf>
    <xf numFmtId="0" fontId="0" fillId="10" borderId="19" xfId="0" applyFont="1" applyFill="1" applyBorder="1"/>
    <xf numFmtId="0" fontId="0" fillId="10" borderId="18" xfId="0" applyFont="1" applyFill="1" applyBorder="1"/>
    <xf numFmtId="0" fontId="0" fillId="10" borderId="22" xfId="0" applyFont="1" applyFill="1" applyBorder="1"/>
    <xf numFmtId="44" fontId="0" fillId="10" borderId="19" xfId="0" applyNumberFormat="1" applyFont="1" applyFill="1" applyBorder="1"/>
    <xf numFmtId="0" fontId="0" fillId="11" borderId="23" xfId="0" applyFont="1" applyFill="1" applyBorder="1"/>
    <xf numFmtId="0" fontId="0" fillId="11" borderId="24" xfId="0" applyFont="1" applyFill="1" applyBorder="1"/>
    <xf numFmtId="0" fontId="0" fillId="11" borderId="24" xfId="0" applyFont="1" applyFill="1" applyBorder="1" applyAlignment="1">
      <alignment horizontal="center"/>
    </xf>
    <xf numFmtId="0" fontId="0" fillId="11" borderId="24" xfId="0" applyFont="1" applyFill="1" applyBorder="1" applyAlignment="1">
      <alignment horizontal="center"/>
    </xf>
    <xf numFmtId="0" fontId="0" fillId="11" borderId="25" xfId="0" applyFont="1" applyFill="1" applyBorder="1"/>
    <xf numFmtId="44" fontId="0" fillId="11" borderId="23" xfId="0" applyNumberFormat="1" applyFont="1" applyFill="1" applyBorder="1"/>
    <xf numFmtId="44" fontId="0" fillId="11" borderId="24" xfId="0" applyNumberFormat="1" applyFont="1" applyFill="1" applyBorder="1"/>
    <xf numFmtId="43" fontId="0" fillId="11" borderId="24" xfId="0" applyNumberFormat="1" applyFont="1" applyFill="1" applyBorder="1"/>
    <xf numFmtId="44" fontId="0" fillId="11" borderId="26" xfId="0" applyNumberFormat="1" applyFont="1" applyFill="1" applyBorder="1"/>
    <xf numFmtId="0" fontId="0" fillId="11" borderId="19" xfId="0" applyFont="1" applyFill="1" applyBorder="1"/>
    <xf numFmtId="0" fontId="0" fillId="11" borderId="17" xfId="0" applyFont="1" applyFill="1" applyBorder="1"/>
    <xf numFmtId="0" fontId="0" fillId="11" borderId="17" xfId="0" applyFont="1" applyFill="1" applyBorder="1" applyAlignment="1">
      <alignment horizontal="center"/>
    </xf>
    <xf numFmtId="0" fontId="0" fillId="11" borderId="17" xfId="0" applyFont="1" applyFill="1" applyBorder="1" applyAlignment="1">
      <alignment horizontal="center"/>
    </xf>
    <xf numFmtId="0" fontId="0" fillId="11" borderId="22" xfId="0" applyFont="1" applyFill="1" applyBorder="1"/>
    <xf numFmtId="44" fontId="0" fillId="11" borderId="19" xfId="0" applyNumberFormat="1" applyFont="1" applyFill="1" applyBorder="1"/>
    <xf numFmtId="44" fontId="0" fillId="11" borderId="17" xfId="0" applyNumberFormat="1" applyFont="1" applyFill="1" applyBorder="1"/>
    <xf numFmtId="43" fontId="0" fillId="11" borderId="17" xfId="0" applyNumberFormat="1" applyFont="1" applyFill="1" applyBorder="1"/>
    <xf numFmtId="44" fontId="0" fillId="11" borderId="21" xfId="0" applyNumberFormat="1" applyFont="1" applyFill="1" applyBorder="1"/>
    <xf numFmtId="0" fontId="0" fillId="11" borderId="27" xfId="0" applyFont="1" applyFill="1" applyBorder="1" applyAlignment="1">
      <alignment horizontal="center"/>
    </xf>
    <xf numFmtId="0" fontId="0" fillId="11" borderId="18" xfId="0" applyFont="1" applyFill="1" applyBorder="1" applyAlignment="1">
      <alignment horizontal="center"/>
    </xf>
    <xf numFmtId="0" fontId="0" fillId="11" borderId="27" xfId="0" applyFont="1" applyFill="1" applyBorder="1"/>
    <xf numFmtId="0" fontId="0" fillId="11" borderId="18" xfId="0" applyFont="1" applyFill="1" applyBorder="1"/>
    <xf numFmtId="0" fontId="0" fillId="11" borderId="28" xfId="0" applyFont="1" applyFill="1" applyBorder="1"/>
    <xf numFmtId="0" fontId="0" fillId="11" borderId="28" xfId="0" applyFont="1" applyFill="1" applyBorder="1" applyAlignment="1">
      <alignment horizontal="center"/>
    </xf>
    <xf numFmtId="0" fontId="0" fillId="11" borderId="28" xfId="0" applyFont="1" applyFill="1" applyBorder="1" applyAlignment="1">
      <alignment horizontal="center"/>
    </xf>
    <xf numFmtId="0" fontId="0" fillId="11" borderId="29" xfId="0" applyFont="1" applyFill="1" applyBorder="1" applyAlignment="1">
      <alignment horizontal="center"/>
    </xf>
    <xf numFmtId="44" fontId="0" fillId="11" borderId="28" xfId="0" applyNumberFormat="1" applyFont="1" applyFill="1" applyBorder="1"/>
    <xf numFmtId="0" fontId="0" fillId="11" borderId="30" xfId="0" applyFont="1" applyFill="1" applyBorder="1"/>
    <xf numFmtId="0" fontId="0" fillId="11" borderId="29" xfId="0" applyFont="1" applyFill="1" applyBorder="1"/>
    <xf numFmtId="43" fontId="0" fillId="11" borderId="28" xfId="0" applyNumberFormat="1" applyFont="1" applyFill="1" applyBorder="1"/>
    <xf numFmtId="44" fontId="0" fillId="11" borderId="30" xfId="0" applyNumberFormat="1" applyFont="1" applyFill="1" applyBorder="1"/>
    <xf numFmtId="0" fontId="0" fillId="10" borderId="12" xfId="0" applyFont="1" applyFill="1" applyBorder="1"/>
    <xf numFmtId="0" fontId="0" fillId="10" borderId="12" xfId="0" applyFont="1" applyFill="1" applyBorder="1" applyAlignment="1">
      <alignment horizontal="center"/>
    </xf>
    <xf numFmtId="0" fontId="0" fillId="10" borderId="12" xfId="0" applyFont="1" applyFill="1" applyBorder="1" applyAlignment="1">
      <alignment horizontal="center"/>
    </xf>
    <xf numFmtId="0" fontId="0" fillId="10" borderId="13" xfId="0" applyFont="1" applyFill="1" applyBorder="1" applyAlignment="1">
      <alignment horizontal="center"/>
    </xf>
    <xf numFmtId="0" fontId="0" fillId="10" borderId="14" xfId="0" applyFont="1" applyFill="1" applyBorder="1"/>
    <xf numFmtId="0" fontId="0" fillId="10" borderId="13" xfId="0" applyFont="1" applyFill="1" applyBorder="1"/>
    <xf numFmtId="0" fontId="0" fillId="11" borderId="14" xfId="0" applyFont="1" applyFill="1" applyBorder="1"/>
    <xf numFmtId="0" fontId="0" fillId="11" borderId="12" xfId="0" applyFont="1" applyFill="1" applyBorder="1"/>
    <xf numFmtId="0" fontId="0" fillId="11" borderId="12" xfId="0" applyFont="1" applyFill="1" applyBorder="1" applyAlignment="1">
      <alignment horizontal="center"/>
    </xf>
    <xf numFmtId="0" fontId="0" fillId="11" borderId="12" xfId="0" applyFont="1" applyFill="1" applyBorder="1" applyAlignment="1">
      <alignment horizontal="center"/>
    </xf>
    <xf numFmtId="0" fontId="0" fillId="11" borderId="13" xfId="0" applyFont="1" applyFill="1" applyBorder="1"/>
    <xf numFmtId="0" fontId="0" fillId="11" borderId="15" xfId="0" applyFont="1" applyFill="1" applyBorder="1"/>
    <xf numFmtId="44" fontId="0" fillId="10" borderId="12" xfId="0" applyNumberFormat="1" applyFont="1" applyFill="1" applyBorder="1"/>
    <xf numFmtId="44" fontId="0" fillId="10" borderId="14" xfId="0" applyNumberFormat="1" applyFont="1" applyFill="1" applyBorder="1"/>
    <xf numFmtId="43" fontId="0" fillId="10" borderId="12" xfId="0" applyNumberFormat="1" applyFont="1" applyFill="1" applyBorder="1"/>
    <xf numFmtId="44" fontId="0" fillId="11" borderId="14" xfId="0" applyNumberFormat="1" applyFont="1" applyFill="1" applyBorder="1"/>
    <xf numFmtId="44" fontId="0" fillId="11" borderId="12" xfId="0" applyNumberFormat="1" applyFont="1" applyFill="1" applyBorder="1"/>
    <xf numFmtId="43" fontId="0" fillId="11" borderId="12" xfId="0" applyNumberFormat="1" applyFont="1" applyFill="1" applyBorder="1"/>
    <xf numFmtId="44" fontId="0" fillId="11" borderId="31" xfId="0" applyNumberFormat="1" applyFont="1" applyFill="1" applyBorder="1"/>
    <xf numFmtId="0" fontId="1" fillId="2" borderId="17" xfId="0" applyFont="1" applyFill="1" applyBorder="1"/>
    <xf numFmtId="0" fontId="6" fillId="0" borderId="0" xfId="0" applyFont="1"/>
    <xf numFmtId="0" fontId="5" fillId="0" borderId="0" xfId="0" applyFont="1" applyAlignment="1">
      <alignment horizontal="center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9" fillId="0" borderId="0" xfId="0" applyFont="1"/>
    <xf numFmtId="0" fontId="10" fillId="0" borderId="0" xfId="0" applyFont="1" applyAlignment="1">
      <alignment vertical="top" wrapText="1"/>
    </xf>
    <xf numFmtId="0" fontId="11" fillId="0" borderId="0" xfId="0" applyFont="1"/>
    <xf numFmtId="0" fontId="12" fillId="0" borderId="0" xfId="0" applyFont="1" applyAlignment="1"/>
    <xf numFmtId="0" fontId="9" fillId="0" borderId="0" xfId="0" applyFont="1" applyAlignment="1"/>
    <xf numFmtId="0" fontId="12" fillId="0" borderId="0" xfId="0" applyFont="1" applyAlignment="1"/>
    <xf numFmtId="0" fontId="12" fillId="0" borderId="0" xfId="0" applyFont="1" applyAlignment="1">
      <alignment wrapText="1"/>
    </xf>
    <xf numFmtId="0" fontId="9" fillId="0" borderId="0" xfId="0" applyFont="1" applyAlignment="1">
      <alignment wrapText="1"/>
    </xf>
    <xf numFmtId="44" fontId="0" fillId="0" borderId="0" xfId="0" applyNumberFormat="1" applyFont="1" applyAlignment="1"/>
    <xf numFmtId="0" fontId="3" fillId="4" borderId="32" xfId="0" applyFont="1" applyFill="1" applyBorder="1"/>
    <xf numFmtId="0" fontId="0" fillId="7" borderId="33" xfId="0" applyFont="1" applyFill="1" applyBorder="1"/>
    <xf numFmtId="44" fontId="0" fillId="10" borderId="34" xfId="0" applyNumberFormat="1" applyFont="1" applyFill="1" applyBorder="1"/>
    <xf numFmtId="44" fontId="0" fillId="11" borderId="35" xfId="0" applyNumberFormat="1" applyFont="1" applyFill="1" applyBorder="1"/>
    <xf numFmtId="44" fontId="0" fillId="11" borderId="34" xfId="0" applyNumberFormat="1" applyFont="1" applyFill="1" applyBorder="1"/>
    <xf numFmtId="44" fontId="0" fillId="11" borderId="36" xfId="0" applyNumberFormat="1" applyFont="1" applyFill="1" applyBorder="1"/>
    <xf numFmtId="44" fontId="0" fillId="10" borderId="33" xfId="0" applyNumberFormat="1" applyFont="1" applyFill="1" applyBorder="1"/>
    <xf numFmtId="0" fontId="0" fillId="0" borderId="34" xfId="0" applyFont="1" applyBorder="1" applyAlignment="1"/>
    <xf numFmtId="43" fontId="0" fillId="0" borderId="0" xfId="1" applyFont="1" applyAlignment="1"/>
    <xf numFmtId="0" fontId="6" fillId="0" borderId="17" xfId="0" applyFont="1" applyBorder="1" applyAlignment="1"/>
    <xf numFmtId="43" fontId="0" fillId="0" borderId="0" xfId="0" applyNumberFormat="1" applyFont="1" applyAlignment="1"/>
    <xf numFmtId="0" fontId="0" fillId="0" borderId="0" xfId="0" applyFont="1" applyAlignment="1">
      <alignment horizontal="center"/>
    </xf>
    <xf numFmtId="164" fontId="0" fillId="0" borderId="0" xfId="0" applyNumberFormat="1" applyFont="1" applyAlignment="1"/>
    <xf numFmtId="0" fontId="0" fillId="0" borderId="0" xfId="0" applyFont="1" applyAlignment="1">
      <alignment horizontal="right"/>
    </xf>
    <xf numFmtId="3" fontId="0" fillId="0" borderId="0" xfId="0" applyNumberFormat="1" applyFont="1" applyAlignment="1"/>
    <xf numFmtId="165" fontId="0" fillId="0" borderId="0" xfId="0" applyNumberFormat="1" applyFont="1" applyAlignment="1"/>
    <xf numFmtId="0" fontId="14" fillId="12" borderId="0" xfId="0" applyFont="1" applyFill="1" applyAlignment="1">
      <alignment horizontal="center"/>
    </xf>
    <xf numFmtId="0" fontId="14" fillId="12" borderId="0" xfId="0" applyFont="1" applyFill="1" applyAlignment="1">
      <alignment horizontal="right"/>
    </xf>
    <xf numFmtId="0" fontId="0" fillId="0" borderId="0" xfId="0" applyFont="1" applyAlignment="1">
      <alignment horizontal="center"/>
    </xf>
    <xf numFmtId="0" fontId="0" fillId="5" borderId="5" xfId="0" applyFont="1" applyFill="1" applyBorder="1" applyAlignment="1">
      <alignment horizontal="center"/>
    </xf>
    <xf numFmtId="0" fontId="4" fillId="0" borderId="6" xfId="0" applyFont="1" applyBorder="1"/>
    <xf numFmtId="0" fontId="4" fillId="0" borderId="7" xfId="0" applyFont="1" applyBorder="1"/>
    <xf numFmtId="0" fontId="0" fillId="6" borderId="5" xfId="0" applyFont="1" applyFill="1" applyBorder="1" applyAlignment="1">
      <alignment horizontal="center"/>
    </xf>
    <xf numFmtId="0" fontId="4" fillId="0" borderId="8" xfId="0" applyFont="1" applyBorder="1"/>
    <xf numFmtId="0" fontId="0" fillId="7" borderId="9" xfId="0" applyFont="1" applyFill="1" applyBorder="1" applyAlignment="1">
      <alignment horizontal="center"/>
    </xf>
    <xf numFmtId="0" fontId="0" fillId="8" borderId="5" xfId="0" applyFont="1" applyFill="1" applyBorder="1" applyAlignment="1">
      <alignment horizontal="center"/>
    </xf>
    <xf numFmtId="0" fontId="0" fillId="9" borderId="9" xfId="0" applyFont="1" applyFill="1" applyBorder="1" applyAlignment="1">
      <alignment horizontal="center"/>
    </xf>
    <xf numFmtId="0" fontId="4" fillId="0" borderId="10" xfId="0" applyFont="1" applyBorder="1"/>
    <xf numFmtId="0" fontId="0" fillId="6" borderId="17" xfId="0" applyFont="1" applyFill="1" applyBorder="1" applyAlignment="1">
      <alignment horizontal="center"/>
    </xf>
    <xf numFmtId="0" fontId="0" fillId="7" borderId="17" xfId="0" applyFont="1" applyFill="1" applyBorder="1" applyAlignment="1">
      <alignment horizontal="center"/>
    </xf>
    <xf numFmtId="0" fontId="0" fillId="8" borderId="17" xfId="0" applyFont="1" applyFill="1" applyBorder="1" applyAlignment="1">
      <alignment horizontal="center"/>
    </xf>
    <xf numFmtId="0" fontId="0" fillId="9" borderId="17" xfId="0" applyFont="1" applyFill="1" applyBorder="1" applyAlignment="1">
      <alignment horizontal="center"/>
    </xf>
    <xf numFmtId="0" fontId="0" fillId="5" borderId="17" xfId="0" applyFont="1" applyFill="1" applyBorder="1" applyAlignment="1">
      <alignment horizontal="center"/>
    </xf>
    <xf numFmtId="0" fontId="0" fillId="5" borderId="18" xfId="0" applyFont="1" applyFill="1" applyBorder="1" applyAlignment="1">
      <alignment horizontal="center"/>
    </xf>
    <xf numFmtId="0" fontId="0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GDP</a:t>
            </a:r>
            <a:r>
              <a:rPr lang="en-US" b="1" baseline="0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Comparisons!$I$2</c:f>
              <c:strCache>
                <c:ptCount val="1"/>
                <c:pt idx="0">
                  <c:v>Argentina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Comparisons!$A$3:$A$27</c:f>
              <c:strCache>
                <c:ptCount val="25"/>
                <c:pt idx="0">
                  <c:v>t-3</c:v>
                </c:pt>
                <c:pt idx="1">
                  <c:v>t-2</c:v>
                </c:pt>
                <c:pt idx="2">
                  <c:v>t-1</c:v>
                </c:pt>
                <c:pt idx="3">
                  <c:v>t</c:v>
                </c:pt>
                <c:pt idx="4">
                  <c:v>t+1</c:v>
                </c:pt>
                <c:pt idx="5">
                  <c:v>t+2</c:v>
                </c:pt>
                <c:pt idx="6">
                  <c:v>t+3</c:v>
                </c:pt>
                <c:pt idx="7">
                  <c:v>t+4</c:v>
                </c:pt>
                <c:pt idx="8">
                  <c:v>t+5</c:v>
                </c:pt>
                <c:pt idx="9">
                  <c:v>t+6</c:v>
                </c:pt>
                <c:pt idx="10">
                  <c:v>t+7</c:v>
                </c:pt>
                <c:pt idx="11">
                  <c:v>t+8</c:v>
                </c:pt>
                <c:pt idx="12">
                  <c:v>t+9</c:v>
                </c:pt>
                <c:pt idx="13">
                  <c:v>t+10</c:v>
                </c:pt>
                <c:pt idx="14">
                  <c:v>t+11</c:v>
                </c:pt>
                <c:pt idx="15">
                  <c:v>t+12</c:v>
                </c:pt>
                <c:pt idx="16">
                  <c:v>t+13</c:v>
                </c:pt>
                <c:pt idx="17">
                  <c:v>t+14</c:v>
                </c:pt>
                <c:pt idx="18">
                  <c:v>t+15</c:v>
                </c:pt>
                <c:pt idx="19">
                  <c:v>t+16</c:v>
                </c:pt>
                <c:pt idx="20">
                  <c:v>t+17</c:v>
                </c:pt>
                <c:pt idx="21">
                  <c:v>t+18</c:v>
                </c:pt>
                <c:pt idx="22">
                  <c:v>t+19</c:v>
                </c:pt>
                <c:pt idx="23">
                  <c:v>t+20</c:v>
                </c:pt>
                <c:pt idx="24">
                  <c:v>t+21</c:v>
                </c:pt>
              </c:strCache>
            </c:strRef>
          </c:cat>
          <c:val>
            <c:numRef>
              <c:f>Comparisons!$I$3:$I$27</c:f>
              <c:numCache>
                <c:formatCode>_(* #,##0.00_);_(* \(#,##0.00\);_(* "-"??_);_(@_)</c:formatCode>
                <c:ptCount val="25"/>
                <c:pt idx="0">
                  <c:v>100</c:v>
                </c:pt>
                <c:pt idx="1">
                  <c:v>95.59115985456404</c:v>
                </c:pt>
                <c:pt idx="2">
                  <c:v>85.176985530395882</c:v>
                </c:pt>
                <c:pt idx="3">
                  <c:v>92.704120829965177</c:v>
                </c:pt>
                <c:pt idx="4">
                  <c:v>101.07489992064225</c:v>
                </c:pt>
                <c:pt idx="5">
                  <c:v>110.02171784646089</c:v>
                </c:pt>
                <c:pt idx="6">
                  <c:v>118.87532204736912</c:v>
                </c:pt>
                <c:pt idx="7">
                  <c:v>129.5831967365682</c:v>
                </c:pt>
                <c:pt idx="8">
                  <c:v>134.84068729672717</c:v>
                </c:pt>
                <c:pt idx="9">
                  <c:v>126.86011077939921</c:v>
                </c:pt>
                <c:pt idx="10">
                  <c:v>139.70520408965405</c:v>
                </c:pt>
                <c:pt idx="11">
                  <c:v>148.09303526002435</c:v>
                </c:pt>
                <c:pt idx="12">
                  <c:v>146.57297075402062</c:v>
                </c:pt>
                <c:pt idx="13">
                  <c:v>150.09852979850928</c:v>
                </c:pt>
                <c:pt idx="14">
                  <c:v>146.32712890734874</c:v>
                </c:pt>
                <c:pt idx="15">
                  <c:v>150.32355997911998</c:v>
                </c:pt>
                <c:pt idx="16">
                  <c:v>147.1963323433705</c:v>
                </c:pt>
                <c:pt idx="17">
                  <c:v>151.1243980620487</c:v>
                </c:pt>
                <c:pt idx="18">
                  <c:v>147.37380883694934</c:v>
                </c:pt>
                <c:pt idx="19">
                  <c:v>144.18617841186389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B8-7E4B-A1D4-C95D99FB91CE}"/>
            </c:ext>
          </c:extLst>
        </c:ser>
        <c:ser>
          <c:idx val="1"/>
          <c:order val="1"/>
          <c:tx>
            <c:strRef>
              <c:f>Comparisons!$J$2</c:f>
              <c:strCache>
                <c:ptCount val="1"/>
                <c:pt idx="0">
                  <c:v>Bolivia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Comparisons!$A$3:$A$27</c:f>
              <c:strCache>
                <c:ptCount val="25"/>
                <c:pt idx="0">
                  <c:v>t-3</c:v>
                </c:pt>
                <c:pt idx="1">
                  <c:v>t-2</c:v>
                </c:pt>
                <c:pt idx="2">
                  <c:v>t-1</c:v>
                </c:pt>
                <c:pt idx="3">
                  <c:v>t</c:v>
                </c:pt>
                <c:pt idx="4">
                  <c:v>t+1</c:v>
                </c:pt>
                <c:pt idx="5">
                  <c:v>t+2</c:v>
                </c:pt>
                <c:pt idx="6">
                  <c:v>t+3</c:v>
                </c:pt>
                <c:pt idx="7">
                  <c:v>t+4</c:v>
                </c:pt>
                <c:pt idx="8">
                  <c:v>t+5</c:v>
                </c:pt>
                <c:pt idx="9">
                  <c:v>t+6</c:v>
                </c:pt>
                <c:pt idx="10">
                  <c:v>t+7</c:v>
                </c:pt>
                <c:pt idx="11">
                  <c:v>t+8</c:v>
                </c:pt>
                <c:pt idx="12">
                  <c:v>t+9</c:v>
                </c:pt>
                <c:pt idx="13">
                  <c:v>t+10</c:v>
                </c:pt>
                <c:pt idx="14">
                  <c:v>t+11</c:v>
                </c:pt>
                <c:pt idx="15">
                  <c:v>t+12</c:v>
                </c:pt>
                <c:pt idx="16">
                  <c:v>t+13</c:v>
                </c:pt>
                <c:pt idx="17">
                  <c:v>t+14</c:v>
                </c:pt>
                <c:pt idx="18">
                  <c:v>t+15</c:v>
                </c:pt>
                <c:pt idx="19">
                  <c:v>t+16</c:v>
                </c:pt>
                <c:pt idx="20">
                  <c:v>t+17</c:v>
                </c:pt>
                <c:pt idx="21">
                  <c:v>t+18</c:v>
                </c:pt>
                <c:pt idx="22">
                  <c:v>t+19</c:v>
                </c:pt>
                <c:pt idx="23">
                  <c:v>t+20</c:v>
                </c:pt>
                <c:pt idx="24">
                  <c:v>t+21</c:v>
                </c:pt>
              </c:strCache>
            </c:strRef>
          </c:cat>
          <c:val>
            <c:numRef>
              <c:f>Comparisons!$J$3:$J$27</c:f>
              <c:numCache>
                <c:formatCode>General</c:formatCode>
                <c:ptCount val="25"/>
                <c:pt idx="0">
                  <c:v>100</c:v>
                </c:pt>
                <c:pt idx="1">
                  <c:v>104.17329253423509</c:v>
                </c:pt>
                <c:pt idx="2">
                  <c:v>108.7790742024322</c:v>
                </c:pt>
                <c:pt idx="3">
                  <c:v>113.99734539218554</c:v>
                </c:pt>
                <c:pt idx="4">
                  <c:v>119.20055813562252</c:v>
                </c:pt>
                <c:pt idx="5">
                  <c:v>126.52960951535471</c:v>
                </c:pt>
                <c:pt idx="6">
                  <c:v>130.7775180530237</c:v>
                </c:pt>
                <c:pt idx="7">
                  <c:v>136.17423100695731</c:v>
                </c:pt>
                <c:pt idx="8">
                  <c:v>143.26078037552927</c:v>
                </c:pt>
                <c:pt idx="9">
                  <c:v>150.59899382199612</c:v>
                </c:pt>
                <c:pt idx="10">
                  <c:v>160.83372333279868</c:v>
                </c:pt>
                <c:pt idx="11">
                  <c:v>169.6161456892311</c:v>
                </c:pt>
                <c:pt idx="12">
                  <c:v>177.85471568111225</c:v>
                </c:pt>
                <c:pt idx="13">
                  <c:v>185.43826799828634</c:v>
                </c:pt>
                <c:pt idx="14">
                  <c:v>193.21781102474543</c:v>
                </c:pt>
                <c:pt idx="15">
                  <c:v>201.37863127299536</c:v>
                </c:pt>
                <c:pt idx="16">
                  <c:v>205.84257821052714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B8-7E4B-A1D4-C95D99FB91CE}"/>
            </c:ext>
          </c:extLst>
        </c:ser>
        <c:ser>
          <c:idx val="2"/>
          <c:order val="2"/>
          <c:tx>
            <c:strRef>
              <c:f>Comparisons!$K$2</c:f>
              <c:strCache>
                <c:ptCount val="1"/>
                <c:pt idx="0">
                  <c:v>Ecuador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Comparisons!$A$3:$A$27</c:f>
              <c:strCache>
                <c:ptCount val="25"/>
                <c:pt idx="0">
                  <c:v>t-3</c:v>
                </c:pt>
                <c:pt idx="1">
                  <c:v>t-2</c:v>
                </c:pt>
                <c:pt idx="2">
                  <c:v>t-1</c:v>
                </c:pt>
                <c:pt idx="3">
                  <c:v>t</c:v>
                </c:pt>
                <c:pt idx="4">
                  <c:v>t+1</c:v>
                </c:pt>
                <c:pt idx="5">
                  <c:v>t+2</c:v>
                </c:pt>
                <c:pt idx="6">
                  <c:v>t+3</c:v>
                </c:pt>
                <c:pt idx="7">
                  <c:v>t+4</c:v>
                </c:pt>
                <c:pt idx="8">
                  <c:v>t+5</c:v>
                </c:pt>
                <c:pt idx="9">
                  <c:v>t+6</c:v>
                </c:pt>
                <c:pt idx="10">
                  <c:v>t+7</c:v>
                </c:pt>
                <c:pt idx="11">
                  <c:v>t+8</c:v>
                </c:pt>
                <c:pt idx="12">
                  <c:v>t+9</c:v>
                </c:pt>
                <c:pt idx="13">
                  <c:v>t+10</c:v>
                </c:pt>
                <c:pt idx="14">
                  <c:v>t+11</c:v>
                </c:pt>
                <c:pt idx="15">
                  <c:v>t+12</c:v>
                </c:pt>
                <c:pt idx="16">
                  <c:v>t+13</c:v>
                </c:pt>
                <c:pt idx="17">
                  <c:v>t+14</c:v>
                </c:pt>
                <c:pt idx="18">
                  <c:v>t+15</c:v>
                </c:pt>
                <c:pt idx="19">
                  <c:v>t+16</c:v>
                </c:pt>
                <c:pt idx="20">
                  <c:v>t+17</c:v>
                </c:pt>
                <c:pt idx="21">
                  <c:v>t+18</c:v>
                </c:pt>
                <c:pt idx="22">
                  <c:v>t+19</c:v>
                </c:pt>
                <c:pt idx="23">
                  <c:v>t+20</c:v>
                </c:pt>
                <c:pt idx="24">
                  <c:v>t+21</c:v>
                </c:pt>
              </c:strCache>
            </c:strRef>
          </c:cat>
          <c:val>
            <c:numRef>
              <c:f>Comparisons!$K$3:$K$27</c:f>
              <c:numCache>
                <c:formatCode>General</c:formatCode>
                <c:ptCount val="25"/>
                <c:pt idx="0">
                  <c:v>100</c:v>
                </c:pt>
                <c:pt idx="1">
                  <c:v>105.29131249574223</c:v>
                </c:pt>
                <c:pt idx="2">
                  <c:v>109.92779791445653</c:v>
                </c:pt>
                <c:pt idx="3">
                  <c:v>112.33532856285547</c:v>
                </c:pt>
                <c:pt idx="4">
                  <c:v>119.47663031103441</c:v>
                </c:pt>
                <c:pt idx="5">
                  <c:v>120.1534623308581</c:v>
                </c:pt>
                <c:pt idx="6">
                  <c:v>124.3892194516047</c:v>
                </c:pt>
                <c:pt idx="7">
                  <c:v>134.17633995157638</c:v>
                </c:pt>
                <c:pt idx="8">
                  <c:v>141.74652459872843</c:v>
                </c:pt>
                <c:pt idx="9">
                  <c:v>148.75802713611563</c:v>
                </c:pt>
                <c:pt idx="10">
                  <c:v>154.39427491674223</c:v>
                </c:pt>
                <c:pt idx="11">
                  <c:v>154.54692663980319</c:v>
                </c:pt>
                <c:pt idx="12">
                  <c:v>152.6515828614825</c:v>
                </c:pt>
                <c:pt idx="13">
                  <c:v>156.26697010928356</c:v>
                </c:pt>
                <c:pt idx="14">
                  <c:v>158.28171284741347</c:v>
                </c:pt>
                <c:pt idx="15">
                  <c:v>158.36672470287115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EB8-7E4B-A1D4-C95D99FB91CE}"/>
            </c:ext>
          </c:extLst>
        </c:ser>
        <c:ser>
          <c:idx val="3"/>
          <c:order val="3"/>
          <c:tx>
            <c:strRef>
              <c:f>Comparisons!$L$2</c:f>
              <c:strCache>
                <c:ptCount val="1"/>
                <c:pt idx="0">
                  <c:v>Nicaragua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Comparisons!$A$3:$A$27</c:f>
              <c:strCache>
                <c:ptCount val="25"/>
                <c:pt idx="0">
                  <c:v>t-3</c:v>
                </c:pt>
                <c:pt idx="1">
                  <c:v>t-2</c:v>
                </c:pt>
                <c:pt idx="2">
                  <c:v>t-1</c:v>
                </c:pt>
                <c:pt idx="3">
                  <c:v>t</c:v>
                </c:pt>
                <c:pt idx="4">
                  <c:v>t+1</c:v>
                </c:pt>
                <c:pt idx="5">
                  <c:v>t+2</c:v>
                </c:pt>
                <c:pt idx="6">
                  <c:v>t+3</c:v>
                </c:pt>
                <c:pt idx="7">
                  <c:v>t+4</c:v>
                </c:pt>
                <c:pt idx="8">
                  <c:v>t+5</c:v>
                </c:pt>
                <c:pt idx="9">
                  <c:v>t+6</c:v>
                </c:pt>
                <c:pt idx="10">
                  <c:v>t+7</c:v>
                </c:pt>
                <c:pt idx="11">
                  <c:v>t+8</c:v>
                </c:pt>
                <c:pt idx="12">
                  <c:v>t+9</c:v>
                </c:pt>
                <c:pt idx="13">
                  <c:v>t+10</c:v>
                </c:pt>
                <c:pt idx="14">
                  <c:v>t+11</c:v>
                </c:pt>
                <c:pt idx="15">
                  <c:v>t+12</c:v>
                </c:pt>
                <c:pt idx="16">
                  <c:v>t+13</c:v>
                </c:pt>
                <c:pt idx="17">
                  <c:v>t+14</c:v>
                </c:pt>
                <c:pt idx="18">
                  <c:v>t+15</c:v>
                </c:pt>
                <c:pt idx="19">
                  <c:v>t+16</c:v>
                </c:pt>
                <c:pt idx="20">
                  <c:v>t+17</c:v>
                </c:pt>
                <c:pt idx="21">
                  <c:v>t+18</c:v>
                </c:pt>
                <c:pt idx="22">
                  <c:v>t+19</c:v>
                </c:pt>
                <c:pt idx="23">
                  <c:v>t+20</c:v>
                </c:pt>
                <c:pt idx="24">
                  <c:v>t+21</c:v>
                </c:pt>
              </c:strCache>
            </c:strRef>
          </c:cat>
          <c:val>
            <c:numRef>
              <c:f>Comparisons!$L$3:$L$27</c:f>
              <c:numCache>
                <c:formatCode>General</c:formatCode>
                <c:ptCount val="25"/>
                <c:pt idx="0">
                  <c:v>100</c:v>
                </c:pt>
                <c:pt idx="1">
                  <c:v>104.28239466820786</c:v>
                </c:pt>
                <c:pt idx="2">
                  <c:v>108.61226709760781</c:v>
                </c:pt>
                <c:pt idx="3">
                  <c:v>114.1258165273041</c:v>
                </c:pt>
                <c:pt idx="4">
                  <c:v>118.04685012341089</c:v>
                </c:pt>
                <c:pt idx="5">
                  <c:v>114.15995928637032</c:v>
                </c:pt>
                <c:pt idx="6">
                  <c:v>119.19453458173739</c:v>
                </c:pt>
                <c:pt idx="7">
                  <c:v>126.72364795594389</c:v>
                </c:pt>
                <c:pt idx="8">
                  <c:v>134.95578006541422</c:v>
                </c:pt>
                <c:pt idx="9">
                  <c:v>141.60518822691407</c:v>
                </c:pt>
                <c:pt idx="10">
                  <c:v>148.3816516260604</c:v>
                </c:pt>
                <c:pt idx="11">
                  <c:v>155.49249319445545</c:v>
                </c:pt>
                <c:pt idx="12">
                  <c:v>162.58785548502044</c:v>
                </c:pt>
                <c:pt idx="13">
                  <c:v>170.11763146802821</c:v>
                </c:pt>
                <c:pt idx="14">
                  <c:v>163.39734257059084</c:v>
                </c:pt>
                <c:pt idx="15">
                  <c:v>157.05928692249503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EB8-7E4B-A1D4-C95D99FB91CE}"/>
            </c:ext>
          </c:extLst>
        </c:ser>
        <c:ser>
          <c:idx val="4"/>
          <c:order val="4"/>
          <c:tx>
            <c:strRef>
              <c:f>Comparisons!$M$2</c:f>
              <c:strCache>
                <c:ptCount val="1"/>
                <c:pt idx="0">
                  <c:v>Venezuela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Comparisons!$A$3:$A$27</c:f>
              <c:strCache>
                <c:ptCount val="25"/>
                <c:pt idx="0">
                  <c:v>t-3</c:v>
                </c:pt>
                <c:pt idx="1">
                  <c:v>t-2</c:v>
                </c:pt>
                <c:pt idx="2">
                  <c:v>t-1</c:v>
                </c:pt>
                <c:pt idx="3">
                  <c:v>t</c:v>
                </c:pt>
                <c:pt idx="4">
                  <c:v>t+1</c:v>
                </c:pt>
                <c:pt idx="5">
                  <c:v>t+2</c:v>
                </c:pt>
                <c:pt idx="6">
                  <c:v>t+3</c:v>
                </c:pt>
                <c:pt idx="7">
                  <c:v>t+4</c:v>
                </c:pt>
                <c:pt idx="8">
                  <c:v>t+5</c:v>
                </c:pt>
                <c:pt idx="9">
                  <c:v>t+6</c:v>
                </c:pt>
                <c:pt idx="10">
                  <c:v>t+7</c:v>
                </c:pt>
                <c:pt idx="11">
                  <c:v>t+8</c:v>
                </c:pt>
                <c:pt idx="12">
                  <c:v>t+9</c:v>
                </c:pt>
                <c:pt idx="13">
                  <c:v>t+10</c:v>
                </c:pt>
                <c:pt idx="14">
                  <c:v>t+11</c:v>
                </c:pt>
                <c:pt idx="15">
                  <c:v>t+12</c:v>
                </c:pt>
                <c:pt idx="16">
                  <c:v>t+13</c:v>
                </c:pt>
                <c:pt idx="17">
                  <c:v>t+14</c:v>
                </c:pt>
                <c:pt idx="18">
                  <c:v>t+15</c:v>
                </c:pt>
                <c:pt idx="19">
                  <c:v>t+16</c:v>
                </c:pt>
                <c:pt idx="20">
                  <c:v>t+17</c:v>
                </c:pt>
                <c:pt idx="21">
                  <c:v>t+18</c:v>
                </c:pt>
                <c:pt idx="22">
                  <c:v>t+19</c:v>
                </c:pt>
                <c:pt idx="23">
                  <c:v>t+20</c:v>
                </c:pt>
                <c:pt idx="24">
                  <c:v>t+21</c:v>
                </c:pt>
              </c:strCache>
            </c:strRef>
          </c:cat>
          <c:val>
            <c:numRef>
              <c:f>Comparisons!$M$3:$M$27</c:f>
              <c:numCache>
                <c:formatCode>General</c:formatCode>
                <c:ptCount val="25"/>
                <c:pt idx="0">
                  <c:v>100</c:v>
                </c:pt>
                <c:pt idx="1">
                  <c:v>106.37092109930974</c:v>
                </c:pt>
                <c:pt idx="2">
                  <c:v>106.6836237214375</c:v>
                </c:pt>
                <c:pt idx="3">
                  <c:v>100.31403456709238</c:v>
                </c:pt>
                <c:pt idx="4">
                  <c:v>104.01263262271152</c:v>
                </c:pt>
                <c:pt idx="5">
                  <c:v>107.54310116822229</c:v>
                </c:pt>
                <c:pt idx="6">
                  <c:v>98.019390226461837</c:v>
                </c:pt>
                <c:pt idx="7">
                  <c:v>90.417782424278357</c:v>
                </c:pt>
                <c:pt idx="8">
                  <c:v>106.95193832622924</c:v>
                </c:pt>
                <c:pt idx="9">
                  <c:v>117.98714041386651</c:v>
                </c:pt>
                <c:pt idx="10">
                  <c:v>129.63506762969587</c:v>
                </c:pt>
                <c:pt idx="11">
                  <c:v>140.98296472834676</c:v>
                </c:pt>
                <c:pt idx="12">
                  <c:v>148.42380296774081</c:v>
                </c:pt>
                <c:pt idx="13">
                  <c:v>143.67069266694276</c:v>
                </c:pt>
                <c:pt idx="14">
                  <c:v>141.53177172046418</c:v>
                </c:pt>
                <c:pt idx="15">
                  <c:v>147.44285214018058</c:v>
                </c:pt>
                <c:pt idx="16">
                  <c:v>155.73782482427271</c:v>
                </c:pt>
                <c:pt idx="17">
                  <c:v>157.82958730788883</c:v>
                </c:pt>
                <c:pt idx="18">
                  <c:v>151.68304946287986</c:v>
                </c:pt>
                <c:pt idx="19">
                  <c:v>142.2462878884113</c:v>
                </c:pt>
                <c:pt idx="20">
                  <c:v>118.00703586608124</c:v>
                </c:pt>
                <c:pt idx="21">
                  <c:v>99.513680254509566</c:v>
                </c:pt>
                <c:pt idx="22">
                  <c:v>79.987648684065022</c:v>
                </c:pt>
                <c:pt idx="23">
                  <c:v>51.99196936130803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EB8-7E4B-A1D4-C95D99FB91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9405584"/>
        <c:axId val="1409398144"/>
      </c:lineChart>
      <c:catAx>
        <c:axId val="1409405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9398144"/>
        <c:crosses val="autoZero"/>
        <c:auto val="1"/>
        <c:lblAlgn val="ctr"/>
        <c:lblOffset val="100"/>
        <c:noMultiLvlLbl val="0"/>
      </c:catAx>
      <c:valAx>
        <c:axId val="1409398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9405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GDP Per Capita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Comparisons!$B$2</c:f>
              <c:strCache>
                <c:ptCount val="1"/>
                <c:pt idx="0">
                  <c:v>Argentina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Comparisons!$A$3:$A$27</c:f>
              <c:strCache>
                <c:ptCount val="25"/>
                <c:pt idx="0">
                  <c:v>t-3</c:v>
                </c:pt>
                <c:pt idx="1">
                  <c:v>t-2</c:v>
                </c:pt>
                <c:pt idx="2">
                  <c:v>t-1</c:v>
                </c:pt>
                <c:pt idx="3">
                  <c:v>t</c:v>
                </c:pt>
                <c:pt idx="4">
                  <c:v>t+1</c:v>
                </c:pt>
                <c:pt idx="5">
                  <c:v>t+2</c:v>
                </c:pt>
                <c:pt idx="6">
                  <c:v>t+3</c:v>
                </c:pt>
                <c:pt idx="7">
                  <c:v>t+4</c:v>
                </c:pt>
                <c:pt idx="8">
                  <c:v>t+5</c:v>
                </c:pt>
                <c:pt idx="9">
                  <c:v>t+6</c:v>
                </c:pt>
                <c:pt idx="10">
                  <c:v>t+7</c:v>
                </c:pt>
                <c:pt idx="11">
                  <c:v>t+8</c:v>
                </c:pt>
                <c:pt idx="12">
                  <c:v>t+9</c:v>
                </c:pt>
                <c:pt idx="13">
                  <c:v>t+10</c:v>
                </c:pt>
                <c:pt idx="14">
                  <c:v>t+11</c:v>
                </c:pt>
                <c:pt idx="15">
                  <c:v>t+12</c:v>
                </c:pt>
                <c:pt idx="16">
                  <c:v>t+13</c:v>
                </c:pt>
                <c:pt idx="17">
                  <c:v>t+14</c:v>
                </c:pt>
                <c:pt idx="18">
                  <c:v>t+15</c:v>
                </c:pt>
                <c:pt idx="19">
                  <c:v>t+16</c:v>
                </c:pt>
                <c:pt idx="20">
                  <c:v>t+17</c:v>
                </c:pt>
                <c:pt idx="21">
                  <c:v>t+18</c:v>
                </c:pt>
                <c:pt idx="22">
                  <c:v>t+19</c:v>
                </c:pt>
                <c:pt idx="23">
                  <c:v>t+20</c:v>
                </c:pt>
                <c:pt idx="24">
                  <c:v>t+21</c:v>
                </c:pt>
              </c:strCache>
            </c:strRef>
          </c:cat>
          <c:val>
            <c:numRef>
              <c:f>Comparisons!$B$3:$B$27</c:f>
              <c:numCache>
                <c:formatCode>_(* #,##0.00_);_(* \(#,##0.00\);_(* "-"??_);_(@_)</c:formatCode>
                <c:ptCount val="25"/>
                <c:pt idx="0">
                  <c:v>100</c:v>
                </c:pt>
                <c:pt idx="1">
                  <c:v>94.55290799690323</c:v>
                </c:pt>
                <c:pt idx="2">
                  <c:v>83.343862058879211</c:v>
                </c:pt>
                <c:pt idx="3">
                  <c:v>89.741801592672743</c:v>
                </c:pt>
                <c:pt idx="4">
                  <c:v>96.817879479396836</c:v>
                </c:pt>
                <c:pt idx="5">
                  <c:v>104.3014043886525</c:v>
                </c:pt>
                <c:pt idx="6">
                  <c:v>111.55612849612184</c:v>
                </c:pt>
                <c:pt idx="7">
                  <c:v>120.39610242926328</c:v>
                </c:pt>
                <c:pt idx="8">
                  <c:v>124.04347338561604</c:v>
                </c:pt>
                <c:pt idx="9">
                  <c:v>115.54125480052491</c:v>
                </c:pt>
                <c:pt idx="10">
                  <c:v>125.95540052133441</c:v>
                </c:pt>
                <c:pt idx="11">
                  <c:v>132.14522474935802</c:v>
                </c:pt>
                <c:pt idx="12">
                  <c:v>129.42726420512366</c:v>
                </c:pt>
                <c:pt idx="13">
                  <c:v>131.15572534226533</c:v>
                </c:pt>
                <c:pt idx="14">
                  <c:v>126.53638253565968</c:v>
                </c:pt>
                <c:pt idx="15">
                  <c:v>128.67079359307542</c:v>
                </c:pt>
                <c:pt idx="16">
                  <c:v>124.73998429302313</c:v>
                </c:pt>
                <c:pt idx="17">
                  <c:v>126.81925795463724</c:v>
                </c:pt>
                <c:pt idx="18">
                  <c:v>122.4897982808353</c:v>
                </c:pt>
                <c:pt idx="19">
                  <c:v>118.71767531714252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C3-764F-A9D1-427B552120C9}"/>
            </c:ext>
          </c:extLst>
        </c:ser>
        <c:ser>
          <c:idx val="1"/>
          <c:order val="1"/>
          <c:tx>
            <c:strRef>
              <c:f>Comparisons!$C$2</c:f>
              <c:strCache>
                <c:ptCount val="1"/>
                <c:pt idx="0">
                  <c:v>Bolivia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Comparisons!$A$3:$A$27</c:f>
              <c:strCache>
                <c:ptCount val="25"/>
                <c:pt idx="0">
                  <c:v>t-3</c:v>
                </c:pt>
                <c:pt idx="1">
                  <c:v>t-2</c:v>
                </c:pt>
                <c:pt idx="2">
                  <c:v>t-1</c:v>
                </c:pt>
                <c:pt idx="3">
                  <c:v>t</c:v>
                </c:pt>
                <c:pt idx="4">
                  <c:v>t+1</c:v>
                </c:pt>
                <c:pt idx="5">
                  <c:v>t+2</c:v>
                </c:pt>
                <c:pt idx="6">
                  <c:v>t+3</c:v>
                </c:pt>
                <c:pt idx="7">
                  <c:v>t+4</c:v>
                </c:pt>
                <c:pt idx="8">
                  <c:v>t+5</c:v>
                </c:pt>
                <c:pt idx="9">
                  <c:v>t+6</c:v>
                </c:pt>
                <c:pt idx="10">
                  <c:v>t+7</c:v>
                </c:pt>
                <c:pt idx="11">
                  <c:v>t+8</c:v>
                </c:pt>
                <c:pt idx="12">
                  <c:v>t+9</c:v>
                </c:pt>
                <c:pt idx="13">
                  <c:v>t+10</c:v>
                </c:pt>
                <c:pt idx="14">
                  <c:v>t+11</c:v>
                </c:pt>
                <c:pt idx="15">
                  <c:v>t+12</c:v>
                </c:pt>
                <c:pt idx="16">
                  <c:v>t+13</c:v>
                </c:pt>
                <c:pt idx="17">
                  <c:v>t+14</c:v>
                </c:pt>
                <c:pt idx="18">
                  <c:v>t+15</c:v>
                </c:pt>
                <c:pt idx="19">
                  <c:v>t+16</c:v>
                </c:pt>
                <c:pt idx="20">
                  <c:v>t+17</c:v>
                </c:pt>
                <c:pt idx="21">
                  <c:v>t+18</c:v>
                </c:pt>
                <c:pt idx="22">
                  <c:v>t+19</c:v>
                </c:pt>
                <c:pt idx="23">
                  <c:v>t+20</c:v>
                </c:pt>
                <c:pt idx="24">
                  <c:v>t+21</c:v>
                </c:pt>
              </c:strCache>
            </c:strRef>
          </c:cat>
          <c:val>
            <c:numRef>
              <c:f>Comparisons!$C$3:$C$27</c:f>
              <c:numCache>
                <c:formatCode>General</c:formatCode>
                <c:ptCount val="25"/>
                <c:pt idx="0">
                  <c:v>100</c:v>
                </c:pt>
                <c:pt idx="1">
                  <c:v>102.29847998637112</c:v>
                </c:pt>
                <c:pt idx="2">
                  <c:v>136.57677049690787</c:v>
                </c:pt>
                <c:pt idx="3">
                  <c:v>149.60270857463536</c:v>
                </c:pt>
                <c:pt idx="4">
                  <c:v>173.06279093134435</c:v>
                </c:pt>
                <c:pt idx="5">
                  <c:v>188.16505736328128</c:v>
                </c:pt>
                <c:pt idx="6">
                  <c:v>181.37272279934794</c:v>
                </c:pt>
                <c:pt idx="7">
                  <c:v>205.71759873196967</c:v>
                </c:pt>
                <c:pt idx="8">
                  <c:v>216.80093958755563</c:v>
                </c:pt>
                <c:pt idx="9">
                  <c:v>223.35943782745608</c:v>
                </c:pt>
                <c:pt idx="10">
                  <c:v>224.87692932019323</c:v>
                </c:pt>
                <c:pt idx="11">
                  <c:v>216.72118654911912</c:v>
                </c:pt>
                <c:pt idx="12">
                  <c:v>221.35325590233964</c:v>
                </c:pt>
                <c:pt idx="13">
                  <c:v>215.48821050127472</c:v>
                </c:pt>
                <c:pt idx="14">
                  <c:v>203.12559560392725</c:v>
                </c:pt>
                <c:pt idx="15">
                  <c:v>182.94423374545283</c:v>
                </c:pt>
                <c:pt idx="16">
                  <c:v>180.22162542732437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C3-764F-A9D1-427B552120C9}"/>
            </c:ext>
          </c:extLst>
        </c:ser>
        <c:ser>
          <c:idx val="2"/>
          <c:order val="2"/>
          <c:tx>
            <c:strRef>
              <c:f>Comparisons!$D$2</c:f>
              <c:strCache>
                <c:ptCount val="1"/>
                <c:pt idx="0">
                  <c:v>Ecuador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Comparisons!$A$3:$A$27</c:f>
              <c:strCache>
                <c:ptCount val="25"/>
                <c:pt idx="0">
                  <c:v>t-3</c:v>
                </c:pt>
                <c:pt idx="1">
                  <c:v>t-2</c:v>
                </c:pt>
                <c:pt idx="2">
                  <c:v>t-1</c:v>
                </c:pt>
                <c:pt idx="3">
                  <c:v>t</c:v>
                </c:pt>
                <c:pt idx="4">
                  <c:v>t+1</c:v>
                </c:pt>
                <c:pt idx="5">
                  <c:v>t+2</c:v>
                </c:pt>
                <c:pt idx="6">
                  <c:v>t+3</c:v>
                </c:pt>
                <c:pt idx="7">
                  <c:v>t+4</c:v>
                </c:pt>
                <c:pt idx="8">
                  <c:v>t+5</c:v>
                </c:pt>
                <c:pt idx="9">
                  <c:v>t+6</c:v>
                </c:pt>
                <c:pt idx="10">
                  <c:v>t+7</c:v>
                </c:pt>
                <c:pt idx="11">
                  <c:v>t+8</c:v>
                </c:pt>
                <c:pt idx="12">
                  <c:v>t+9</c:v>
                </c:pt>
                <c:pt idx="13">
                  <c:v>t+10</c:v>
                </c:pt>
                <c:pt idx="14">
                  <c:v>t+11</c:v>
                </c:pt>
                <c:pt idx="15">
                  <c:v>t+12</c:v>
                </c:pt>
                <c:pt idx="16">
                  <c:v>t+13</c:v>
                </c:pt>
                <c:pt idx="17">
                  <c:v>t+14</c:v>
                </c:pt>
                <c:pt idx="18">
                  <c:v>t+15</c:v>
                </c:pt>
                <c:pt idx="19">
                  <c:v>t+16</c:v>
                </c:pt>
                <c:pt idx="20">
                  <c:v>t+17</c:v>
                </c:pt>
                <c:pt idx="21">
                  <c:v>t+18</c:v>
                </c:pt>
                <c:pt idx="22">
                  <c:v>t+19</c:v>
                </c:pt>
                <c:pt idx="23">
                  <c:v>t+20</c:v>
                </c:pt>
                <c:pt idx="24">
                  <c:v>t+21</c:v>
                </c:pt>
              </c:strCache>
            </c:strRef>
          </c:cat>
          <c:val>
            <c:numRef>
              <c:f>Comparisons!$D$3:$D$27</c:f>
              <c:numCache>
                <c:formatCode>General</c:formatCode>
                <c:ptCount val="25"/>
                <c:pt idx="0">
                  <c:v>100</c:v>
                </c:pt>
                <c:pt idx="1">
                  <c:v>103.54385794384675</c:v>
                </c:pt>
                <c:pt idx="2">
                  <c:v>106.30771536153661</c:v>
                </c:pt>
                <c:pt idx="3">
                  <c:v>106.83374418386646</c:v>
                </c:pt>
                <c:pt idx="4">
                  <c:v>111.7556267790296</c:v>
                </c:pt>
                <c:pt idx="5">
                  <c:v>110.57304795054827</c:v>
                </c:pt>
                <c:pt idx="6">
                  <c:v>112.6661054391332</c:v>
                </c:pt>
                <c:pt idx="7">
                  <c:v>119.67511550216032</c:v>
                </c:pt>
                <c:pt idx="8">
                  <c:v>124.54621732764031</c:v>
                </c:pt>
                <c:pt idx="9">
                  <c:v>128.76493413626895</c:v>
                </c:pt>
                <c:pt idx="10">
                  <c:v>131.59638428837647</c:v>
                </c:pt>
                <c:pt idx="11">
                  <c:v>129.61247141332791</c:v>
                </c:pt>
                <c:pt idx="12">
                  <c:v>125.85625796330984</c:v>
                </c:pt>
                <c:pt idx="13">
                  <c:v>126.57853216205608</c:v>
                </c:pt>
                <c:pt idx="14">
                  <c:v>125.96666384408583</c:v>
                </c:pt>
                <c:pt idx="15">
                  <c:v>123.93561215530846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0C3-764F-A9D1-427B552120C9}"/>
            </c:ext>
          </c:extLst>
        </c:ser>
        <c:ser>
          <c:idx val="3"/>
          <c:order val="3"/>
          <c:tx>
            <c:strRef>
              <c:f>Comparisons!$E$2</c:f>
              <c:strCache>
                <c:ptCount val="1"/>
                <c:pt idx="0">
                  <c:v>Nicaragua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Comparisons!$A$3:$A$27</c:f>
              <c:strCache>
                <c:ptCount val="25"/>
                <c:pt idx="0">
                  <c:v>t-3</c:v>
                </c:pt>
                <c:pt idx="1">
                  <c:v>t-2</c:v>
                </c:pt>
                <c:pt idx="2">
                  <c:v>t-1</c:v>
                </c:pt>
                <c:pt idx="3">
                  <c:v>t</c:v>
                </c:pt>
                <c:pt idx="4">
                  <c:v>t+1</c:v>
                </c:pt>
                <c:pt idx="5">
                  <c:v>t+2</c:v>
                </c:pt>
                <c:pt idx="6">
                  <c:v>t+3</c:v>
                </c:pt>
                <c:pt idx="7">
                  <c:v>t+4</c:v>
                </c:pt>
                <c:pt idx="8">
                  <c:v>t+5</c:v>
                </c:pt>
                <c:pt idx="9">
                  <c:v>t+6</c:v>
                </c:pt>
                <c:pt idx="10">
                  <c:v>t+7</c:v>
                </c:pt>
                <c:pt idx="11">
                  <c:v>t+8</c:v>
                </c:pt>
                <c:pt idx="12">
                  <c:v>t+9</c:v>
                </c:pt>
                <c:pt idx="13">
                  <c:v>t+10</c:v>
                </c:pt>
                <c:pt idx="14">
                  <c:v>t+11</c:v>
                </c:pt>
                <c:pt idx="15">
                  <c:v>t+12</c:v>
                </c:pt>
                <c:pt idx="16">
                  <c:v>t+13</c:v>
                </c:pt>
                <c:pt idx="17">
                  <c:v>t+14</c:v>
                </c:pt>
                <c:pt idx="18">
                  <c:v>t+15</c:v>
                </c:pt>
                <c:pt idx="19">
                  <c:v>t+16</c:v>
                </c:pt>
                <c:pt idx="20">
                  <c:v>t+17</c:v>
                </c:pt>
                <c:pt idx="21">
                  <c:v>t+18</c:v>
                </c:pt>
                <c:pt idx="22">
                  <c:v>t+19</c:v>
                </c:pt>
                <c:pt idx="23">
                  <c:v>t+20</c:v>
                </c:pt>
                <c:pt idx="24">
                  <c:v>t+21</c:v>
                </c:pt>
              </c:strCache>
            </c:strRef>
          </c:cat>
          <c:val>
            <c:numRef>
              <c:f>Comparisons!$E$3:$E$27</c:f>
              <c:numCache>
                <c:formatCode>General</c:formatCode>
                <c:ptCount val="25"/>
                <c:pt idx="0">
                  <c:v>100</c:v>
                </c:pt>
                <c:pt idx="1">
                  <c:v>102.86820337972595</c:v>
                </c:pt>
                <c:pt idx="2">
                  <c:v>105.68059475557881</c:v>
                </c:pt>
                <c:pt idx="3">
                  <c:v>109.52979666406006</c:v>
                </c:pt>
                <c:pt idx="4">
                  <c:v>111.74614496774578</c:v>
                </c:pt>
                <c:pt idx="5">
                  <c:v>106.59785738921434</c:v>
                </c:pt>
                <c:pt idx="6">
                  <c:v>109.79804146867751</c:v>
                </c:pt>
                <c:pt idx="7">
                  <c:v>115.17188591275136</c:v>
                </c:pt>
                <c:pt idx="8">
                  <c:v>121.02396010067369</c:v>
                </c:pt>
                <c:pt idx="9">
                  <c:v>125.3126629187076</c:v>
                </c:pt>
                <c:pt idx="10">
                  <c:v>129.5934847491219</c:v>
                </c:pt>
                <c:pt idx="11">
                  <c:v>134.04707499247914</c:v>
                </c:pt>
                <c:pt idx="12">
                  <c:v>138.36879347321678</c:v>
                </c:pt>
                <c:pt idx="13">
                  <c:v>142.94315558745282</c:v>
                </c:pt>
                <c:pt idx="14">
                  <c:v>135.58363413198032</c:v>
                </c:pt>
                <c:pt idx="15">
                  <c:v>128.73158781183409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0C3-764F-A9D1-427B552120C9}"/>
            </c:ext>
          </c:extLst>
        </c:ser>
        <c:ser>
          <c:idx val="4"/>
          <c:order val="4"/>
          <c:tx>
            <c:strRef>
              <c:f>Comparisons!$F$2</c:f>
              <c:strCache>
                <c:ptCount val="1"/>
                <c:pt idx="0">
                  <c:v>Venezuela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Comparisons!$A$3:$A$27</c:f>
              <c:strCache>
                <c:ptCount val="25"/>
                <c:pt idx="0">
                  <c:v>t-3</c:v>
                </c:pt>
                <c:pt idx="1">
                  <c:v>t-2</c:v>
                </c:pt>
                <c:pt idx="2">
                  <c:v>t-1</c:v>
                </c:pt>
                <c:pt idx="3">
                  <c:v>t</c:v>
                </c:pt>
                <c:pt idx="4">
                  <c:v>t+1</c:v>
                </c:pt>
                <c:pt idx="5">
                  <c:v>t+2</c:v>
                </c:pt>
                <c:pt idx="6">
                  <c:v>t+3</c:v>
                </c:pt>
                <c:pt idx="7">
                  <c:v>t+4</c:v>
                </c:pt>
                <c:pt idx="8">
                  <c:v>t+5</c:v>
                </c:pt>
                <c:pt idx="9">
                  <c:v>t+6</c:v>
                </c:pt>
                <c:pt idx="10">
                  <c:v>t+7</c:v>
                </c:pt>
                <c:pt idx="11">
                  <c:v>t+8</c:v>
                </c:pt>
                <c:pt idx="12">
                  <c:v>t+9</c:v>
                </c:pt>
                <c:pt idx="13">
                  <c:v>t+10</c:v>
                </c:pt>
                <c:pt idx="14">
                  <c:v>t+11</c:v>
                </c:pt>
                <c:pt idx="15">
                  <c:v>t+12</c:v>
                </c:pt>
                <c:pt idx="16">
                  <c:v>t+13</c:v>
                </c:pt>
                <c:pt idx="17">
                  <c:v>t+14</c:v>
                </c:pt>
                <c:pt idx="18">
                  <c:v>t+15</c:v>
                </c:pt>
                <c:pt idx="19">
                  <c:v>t+16</c:v>
                </c:pt>
                <c:pt idx="20">
                  <c:v>t+17</c:v>
                </c:pt>
                <c:pt idx="21">
                  <c:v>t+18</c:v>
                </c:pt>
                <c:pt idx="22">
                  <c:v>t+19</c:v>
                </c:pt>
                <c:pt idx="23">
                  <c:v>t+20</c:v>
                </c:pt>
                <c:pt idx="24">
                  <c:v>t+21</c:v>
                </c:pt>
              </c:strCache>
            </c:strRef>
          </c:cat>
          <c:val>
            <c:numRef>
              <c:f>Comparisons!$F$3:$F$27</c:f>
              <c:numCache>
                <c:formatCode>General</c:formatCode>
                <c:ptCount val="25"/>
                <c:pt idx="0">
                  <c:v>100</c:v>
                </c:pt>
                <c:pt idx="1">
                  <c:v>104.26521613395698</c:v>
                </c:pt>
                <c:pt idx="2">
                  <c:v>102.5474246226516</c:v>
                </c:pt>
                <c:pt idx="3">
                  <c:v>94.591824263137738</c:v>
                </c:pt>
                <c:pt idx="4">
                  <c:v>96.244521511822413</c:v>
                </c:pt>
                <c:pt idx="5">
                  <c:v>97.678167596011932</c:v>
                </c:pt>
                <c:pt idx="6">
                  <c:v>87.418011803752194</c:v>
                </c:pt>
                <c:pt idx="7">
                  <c:v>79.214566992925654</c:v>
                </c:pt>
                <c:pt idx="8">
                  <c:v>92.096243769185847</c:v>
                </c:pt>
                <c:pt idx="9">
                  <c:v>99.923356691329815</c:v>
                </c:pt>
                <c:pt idx="10">
                  <c:v>108.07986160862382</c:v>
                </c:pt>
                <c:pt idx="11">
                  <c:v>115.82650017271668</c:v>
                </c:pt>
                <c:pt idx="12">
                  <c:v>120.22664289263329</c:v>
                </c:pt>
                <c:pt idx="13">
                  <c:v>114.73585703960023</c:v>
                </c:pt>
                <c:pt idx="14">
                  <c:v>111.40251018863643</c:v>
                </c:pt>
                <c:pt idx="15">
                  <c:v>114.25569368697171</c:v>
                </c:pt>
                <c:pt idx="16">
                  <c:v>118.73954541137503</c:v>
                </c:pt>
                <c:pt idx="17">
                  <c:v>118.63648486147031</c:v>
                </c:pt>
                <c:pt idx="18">
                  <c:v>113.0222438811211</c:v>
                </c:pt>
                <c:pt idx="19">
                  <c:v>105.85379015581849</c:v>
                </c:pt>
                <c:pt idx="20">
                  <c:v>88.494242618460817</c:v>
                </c:pt>
                <c:pt idx="21">
                  <c:v>75.764973339985914</c:v>
                </c:pt>
                <c:pt idx="22">
                  <c:v>61.985259580565987</c:v>
                </c:pt>
                <c:pt idx="23">
                  <c:v>40.815016422386499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0C3-764F-A9D1-427B552120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5464752"/>
        <c:axId val="1355683344"/>
      </c:lineChart>
      <c:catAx>
        <c:axId val="1335464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5683344"/>
        <c:crosses val="autoZero"/>
        <c:auto val="1"/>
        <c:lblAlgn val="ctr"/>
        <c:lblOffset val="100"/>
        <c:noMultiLvlLbl val="0"/>
      </c:catAx>
      <c:valAx>
        <c:axId val="1355683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46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Real Wages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Comparisons!$P$2</c:f>
              <c:strCache>
                <c:ptCount val="1"/>
                <c:pt idx="0">
                  <c:v>Argentina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Comparisons!$O$3:$O$26</c:f>
              <c:strCache>
                <c:ptCount val="24"/>
                <c:pt idx="0">
                  <c:v>t-3</c:v>
                </c:pt>
                <c:pt idx="1">
                  <c:v>t-2</c:v>
                </c:pt>
                <c:pt idx="2">
                  <c:v>t-1</c:v>
                </c:pt>
                <c:pt idx="3">
                  <c:v>t</c:v>
                </c:pt>
                <c:pt idx="4">
                  <c:v>t+1</c:v>
                </c:pt>
                <c:pt idx="5">
                  <c:v>t+2</c:v>
                </c:pt>
                <c:pt idx="6">
                  <c:v>t+3</c:v>
                </c:pt>
                <c:pt idx="7">
                  <c:v>t+4</c:v>
                </c:pt>
                <c:pt idx="8">
                  <c:v>t+5</c:v>
                </c:pt>
                <c:pt idx="9">
                  <c:v>t+6</c:v>
                </c:pt>
                <c:pt idx="10">
                  <c:v>t+7</c:v>
                </c:pt>
                <c:pt idx="11">
                  <c:v>t+8</c:v>
                </c:pt>
                <c:pt idx="12">
                  <c:v>t+9</c:v>
                </c:pt>
                <c:pt idx="13">
                  <c:v>t+10</c:v>
                </c:pt>
                <c:pt idx="14">
                  <c:v>t+11</c:v>
                </c:pt>
                <c:pt idx="15">
                  <c:v>t+12</c:v>
                </c:pt>
                <c:pt idx="16">
                  <c:v>t+13</c:v>
                </c:pt>
                <c:pt idx="17">
                  <c:v>t+14</c:v>
                </c:pt>
                <c:pt idx="18">
                  <c:v>t+15</c:v>
                </c:pt>
                <c:pt idx="19">
                  <c:v>t+16</c:v>
                </c:pt>
                <c:pt idx="20">
                  <c:v>t+17</c:v>
                </c:pt>
                <c:pt idx="21">
                  <c:v>t+18</c:v>
                </c:pt>
                <c:pt idx="22">
                  <c:v>t+19</c:v>
                </c:pt>
                <c:pt idx="23">
                  <c:v>t+20</c:v>
                </c:pt>
              </c:strCache>
            </c:strRef>
          </c:cat>
          <c:val>
            <c:numRef>
              <c:f>Comparisons!$P$3:$P$26</c:f>
              <c:numCache>
                <c:formatCode>_(* #,##0.00_);_(* \(#,##0.00\);_(* "-"??_);_(@_)</c:formatCode>
                <c:ptCount val="24"/>
                <c:pt idx="0">
                  <c:v>100</c:v>
                </c:pt>
                <c:pt idx="1">
                  <c:v>98.384230388010579</c:v>
                </c:pt>
                <c:pt idx="2">
                  <c:v>70.115685231934052</c:v>
                </c:pt>
                <c:pt idx="3">
                  <c:v>71.051987947828351</c:v>
                </c:pt>
                <c:pt idx="4">
                  <c:v>76.110406748913405</c:v>
                </c:pt>
                <c:pt idx="5">
                  <c:v>82.325998765921852</c:v>
                </c:pt>
                <c:pt idx="6">
                  <c:v>90.164064313023971</c:v>
                </c:pt>
                <c:pt idx="7">
                  <c:v>96.914560316515846</c:v>
                </c:pt>
                <c:pt idx="8">
                  <c:v>108.95394428917413</c:v>
                </c:pt>
                <c:pt idx="9">
                  <c:v>111.47620998861163</c:v>
                </c:pt>
                <c:pt idx="10">
                  <c:v>118.41854818170549</c:v>
                </c:pt>
                <c:pt idx="11">
                  <c:v>131.76825790775342</c:v>
                </c:pt>
                <c:pt idx="12">
                  <c:v>141.07243253031299</c:v>
                </c:pt>
                <c:pt idx="13">
                  <c:v>148.42709237226589</c:v>
                </c:pt>
                <c:pt idx="14">
                  <c:v>142.76695261821988</c:v>
                </c:pt>
                <c:pt idx="15">
                  <c:v>143.18389134673978</c:v>
                </c:pt>
                <c:pt idx="16">
                  <c:v>141.13838203245501</c:v>
                </c:pt>
                <c:pt idx="17">
                  <c:v>142.65902144497312</c:v>
                </c:pt>
                <c:pt idx="18">
                  <c:v>138.41785715444087</c:v>
                </c:pt>
                <c:pt idx="19">
                  <c:v>132.09040338580959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0F-BF44-B19C-303A7413B3D1}"/>
            </c:ext>
          </c:extLst>
        </c:ser>
        <c:ser>
          <c:idx val="1"/>
          <c:order val="1"/>
          <c:tx>
            <c:strRef>
              <c:f>Comparisons!$Q$2</c:f>
              <c:strCache>
                <c:ptCount val="1"/>
                <c:pt idx="0">
                  <c:v>Bolivia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Comparisons!$O$3:$O$26</c:f>
              <c:strCache>
                <c:ptCount val="24"/>
                <c:pt idx="0">
                  <c:v>t-3</c:v>
                </c:pt>
                <c:pt idx="1">
                  <c:v>t-2</c:v>
                </c:pt>
                <c:pt idx="2">
                  <c:v>t-1</c:v>
                </c:pt>
                <c:pt idx="3">
                  <c:v>t</c:v>
                </c:pt>
                <c:pt idx="4">
                  <c:v>t+1</c:v>
                </c:pt>
                <c:pt idx="5">
                  <c:v>t+2</c:v>
                </c:pt>
                <c:pt idx="6">
                  <c:v>t+3</c:v>
                </c:pt>
                <c:pt idx="7">
                  <c:v>t+4</c:v>
                </c:pt>
                <c:pt idx="8">
                  <c:v>t+5</c:v>
                </c:pt>
                <c:pt idx="9">
                  <c:v>t+6</c:v>
                </c:pt>
                <c:pt idx="10">
                  <c:v>t+7</c:v>
                </c:pt>
                <c:pt idx="11">
                  <c:v>t+8</c:v>
                </c:pt>
                <c:pt idx="12">
                  <c:v>t+9</c:v>
                </c:pt>
                <c:pt idx="13">
                  <c:v>t+10</c:v>
                </c:pt>
                <c:pt idx="14">
                  <c:v>t+11</c:v>
                </c:pt>
                <c:pt idx="15">
                  <c:v>t+12</c:v>
                </c:pt>
                <c:pt idx="16">
                  <c:v>t+13</c:v>
                </c:pt>
                <c:pt idx="17">
                  <c:v>t+14</c:v>
                </c:pt>
                <c:pt idx="18">
                  <c:v>t+15</c:v>
                </c:pt>
                <c:pt idx="19">
                  <c:v>t+16</c:v>
                </c:pt>
                <c:pt idx="20">
                  <c:v>t+17</c:v>
                </c:pt>
                <c:pt idx="21">
                  <c:v>t+18</c:v>
                </c:pt>
                <c:pt idx="22">
                  <c:v>t+19</c:v>
                </c:pt>
                <c:pt idx="23">
                  <c:v>t+20</c:v>
                </c:pt>
              </c:strCache>
            </c:strRef>
          </c:cat>
          <c:val>
            <c:numRef>
              <c:f>Comparisons!$Q$3:$Q$26</c:f>
              <c:numCache>
                <c:formatCode>General</c:formatCode>
                <c:ptCount val="24"/>
                <c:pt idx="0">
                  <c:v>100</c:v>
                </c:pt>
                <c:pt idx="1">
                  <c:v>94.331043670618854</c:v>
                </c:pt>
                <c:pt idx="2">
                  <c:v>94.407034020416589</c:v>
                </c:pt>
                <c:pt idx="3">
                  <c:v>89.199696878806705</c:v>
                </c:pt>
                <c:pt idx="4">
                  <c:v>90.500303433462108</c:v>
                </c:pt>
                <c:pt idx="5">
                  <c:v>89.222562921012837</c:v>
                </c:pt>
                <c:pt idx="6">
                  <c:v>97.42918861676722</c:v>
                </c:pt>
                <c:pt idx="7">
                  <c:v>94.204278772582811</c:v>
                </c:pt>
                <c:pt idx="8">
                  <c:v>97.240948211193896</c:v>
                </c:pt>
                <c:pt idx="9">
                  <c:v>99.124824451222111</c:v>
                </c:pt>
                <c:pt idx="10">
                  <c:v>104.86848575239642</c:v>
                </c:pt>
                <c:pt idx="11">
                  <c:v>110.09145407319585</c:v>
                </c:pt>
                <c:pt idx="12">
                  <c:v>120.3196450218544</c:v>
                </c:pt>
                <c:pt idx="13">
                  <c:v>122.45046174811958</c:v>
                </c:pt>
                <c:pt idx="14">
                  <c:v>124.7030118269665</c:v>
                </c:pt>
                <c:pt idx="15">
                  <c:v>126.82213636609833</c:v>
                </c:pt>
                <c:pt idx="16">
                  <c:v>126.33620846458022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0F-BF44-B19C-303A7413B3D1}"/>
            </c:ext>
          </c:extLst>
        </c:ser>
        <c:ser>
          <c:idx val="2"/>
          <c:order val="2"/>
          <c:tx>
            <c:strRef>
              <c:f>Comparisons!$R$2</c:f>
              <c:strCache>
                <c:ptCount val="1"/>
                <c:pt idx="0">
                  <c:v>Ecuador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Comparisons!$O$3:$O$26</c:f>
              <c:strCache>
                <c:ptCount val="24"/>
                <c:pt idx="0">
                  <c:v>t-3</c:v>
                </c:pt>
                <c:pt idx="1">
                  <c:v>t-2</c:v>
                </c:pt>
                <c:pt idx="2">
                  <c:v>t-1</c:v>
                </c:pt>
                <c:pt idx="3">
                  <c:v>t</c:v>
                </c:pt>
                <c:pt idx="4">
                  <c:v>t+1</c:v>
                </c:pt>
                <c:pt idx="5">
                  <c:v>t+2</c:v>
                </c:pt>
                <c:pt idx="6">
                  <c:v>t+3</c:v>
                </c:pt>
                <c:pt idx="7">
                  <c:v>t+4</c:v>
                </c:pt>
                <c:pt idx="8">
                  <c:v>t+5</c:v>
                </c:pt>
                <c:pt idx="9">
                  <c:v>t+6</c:v>
                </c:pt>
                <c:pt idx="10">
                  <c:v>t+7</c:v>
                </c:pt>
                <c:pt idx="11">
                  <c:v>t+8</c:v>
                </c:pt>
                <c:pt idx="12">
                  <c:v>t+9</c:v>
                </c:pt>
                <c:pt idx="13">
                  <c:v>t+10</c:v>
                </c:pt>
                <c:pt idx="14">
                  <c:v>t+11</c:v>
                </c:pt>
                <c:pt idx="15">
                  <c:v>t+12</c:v>
                </c:pt>
                <c:pt idx="16">
                  <c:v>t+13</c:v>
                </c:pt>
                <c:pt idx="17">
                  <c:v>t+14</c:v>
                </c:pt>
                <c:pt idx="18">
                  <c:v>t+15</c:v>
                </c:pt>
                <c:pt idx="19">
                  <c:v>t+16</c:v>
                </c:pt>
                <c:pt idx="20">
                  <c:v>t+17</c:v>
                </c:pt>
                <c:pt idx="21">
                  <c:v>t+18</c:v>
                </c:pt>
                <c:pt idx="22">
                  <c:v>t+19</c:v>
                </c:pt>
                <c:pt idx="23">
                  <c:v>t+20</c:v>
                </c:pt>
              </c:strCache>
            </c:strRef>
          </c:cat>
          <c:val>
            <c:numRef>
              <c:f>Comparisons!$R$3:$R$26</c:f>
              <c:numCache>
                <c:formatCode>General</c:formatCode>
                <c:ptCount val="24"/>
                <c:pt idx="0">
                  <c:v>100</c:v>
                </c:pt>
                <c:pt idx="1">
                  <c:v>106.05581911299203</c:v>
                </c:pt>
                <c:pt idx="2">
                  <c:v>110.98700121264613</c:v>
                </c:pt>
                <c:pt idx="3">
                  <c:v>113.00087146042313</c:v>
                </c:pt>
                <c:pt idx="4">
                  <c:v>121.76124664261249</c:v>
                </c:pt>
                <c:pt idx="5">
                  <c:v>123.91503519118237</c:v>
                </c:pt>
                <c:pt idx="6">
                  <c:v>128.19578313363408</c:v>
                </c:pt>
                <c:pt idx="7">
                  <c:v>138.11663434031692</c:v>
                </c:pt>
                <c:pt idx="8">
                  <c:v>145.53091500063761</c:v>
                </c:pt>
                <c:pt idx="9">
                  <c:v>145.61097035780188</c:v>
                </c:pt>
                <c:pt idx="10">
                  <c:v>148.15559244004817</c:v>
                </c:pt>
                <c:pt idx="11">
                  <c:v>145.18388108910858</c:v>
                </c:pt>
                <c:pt idx="12">
                  <c:v>141.75289317914209</c:v>
                </c:pt>
                <c:pt idx="13">
                  <c:v>140.98685780332886</c:v>
                </c:pt>
                <c:pt idx="14">
                  <c:v>139.52892207008531</c:v>
                </c:pt>
                <c:pt idx="15">
                  <c:v>138.28304941090551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40F-BF44-B19C-303A7413B3D1}"/>
            </c:ext>
          </c:extLst>
        </c:ser>
        <c:ser>
          <c:idx val="3"/>
          <c:order val="3"/>
          <c:tx>
            <c:strRef>
              <c:f>Comparisons!$S$2</c:f>
              <c:strCache>
                <c:ptCount val="1"/>
                <c:pt idx="0">
                  <c:v>Nicaragua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Comparisons!$O$3:$O$26</c:f>
              <c:strCache>
                <c:ptCount val="24"/>
                <c:pt idx="0">
                  <c:v>t-3</c:v>
                </c:pt>
                <c:pt idx="1">
                  <c:v>t-2</c:v>
                </c:pt>
                <c:pt idx="2">
                  <c:v>t-1</c:v>
                </c:pt>
                <c:pt idx="3">
                  <c:v>t</c:v>
                </c:pt>
                <c:pt idx="4">
                  <c:v>t+1</c:v>
                </c:pt>
                <c:pt idx="5">
                  <c:v>t+2</c:v>
                </c:pt>
                <c:pt idx="6">
                  <c:v>t+3</c:v>
                </c:pt>
                <c:pt idx="7">
                  <c:v>t+4</c:v>
                </c:pt>
                <c:pt idx="8">
                  <c:v>t+5</c:v>
                </c:pt>
                <c:pt idx="9">
                  <c:v>t+6</c:v>
                </c:pt>
                <c:pt idx="10">
                  <c:v>t+7</c:v>
                </c:pt>
                <c:pt idx="11">
                  <c:v>t+8</c:v>
                </c:pt>
                <c:pt idx="12">
                  <c:v>t+9</c:v>
                </c:pt>
                <c:pt idx="13">
                  <c:v>t+10</c:v>
                </c:pt>
                <c:pt idx="14">
                  <c:v>t+11</c:v>
                </c:pt>
                <c:pt idx="15">
                  <c:v>t+12</c:v>
                </c:pt>
                <c:pt idx="16">
                  <c:v>t+13</c:v>
                </c:pt>
                <c:pt idx="17">
                  <c:v>t+14</c:v>
                </c:pt>
                <c:pt idx="18">
                  <c:v>t+15</c:v>
                </c:pt>
                <c:pt idx="19">
                  <c:v>t+16</c:v>
                </c:pt>
                <c:pt idx="20">
                  <c:v>t+17</c:v>
                </c:pt>
                <c:pt idx="21">
                  <c:v>t+18</c:v>
                </c:pt>
                <c:pt idx="22">
                  <c:v>t+19</c:v>
                </c:pt>
                <c:pt idx="23">
                  <c:v>t+20</c:v>
                </c:pt>
              </c:strCache>
            </c:strRef>
          </c:cat>
          <c:val>
            <c:numRef>
              <c:f>Comparisons!$S$3:$S$26</c:f>
              <c:numCache>
                <c:formatCode>General</c:formatCode>
                <c:ptCount val="24"/>
                <c:pt idx="0">
                  <c:v>100</c:v>
                </c:pt>
                <c:pt idx="1">
                  <c:v>100.48666175222294</c:v>
                </c:pt>
                <c:pt idx="2">
                  <c:v>101.84938620625456</c:v>
                </c:pt>
                <c:pt idx="3">
                  <c:v>104.20493058517395</c:v>
                </c:pt>
                <c:pt idx="4">
                  <c:v>107.34759190515378</c:v>
                </c:pt>
                <c:pt idx="5">
                  <c:v>101.55887247597433</c:v>
                </c:pt>
                <c:pt idx="6">
                  <c:v>103.14674052884723</c:v>
                </c:pt>
                <c:pt idx="7">
                  <c:v>106.73651452491258</c:v>
                </c:pt>
                <c:pt idx="8">
                  <c:v>109.07574476796017</c:v>
                </c:pt>
                <c:pt idx="9">
                  <c:v>111.74980504769789</c:v>
                </c:pt>
                <c:pt idx="10">
                  <c:v>113.09853187527862</c:v>
                </c:pt>
                <c:pt idx="11">
                  <c:v>116.35850610479557</c:v>
                </c:pt>
                <c:pt idx="12">
                  <c:v>118.23767055434904</c:v>
                </c:pt>
                <c:pt idx="13">
                  <c:v>120.57235549927989</c:v>
                </c:pt>
                <c:pt idx="14">
                  <c:v>116.35890426144748</c:v>
                </c:pt>
                <c:pt idx="15">
                  <c:v>111.70297150343977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40F-BF44-B19C-303A7413B3D1}"/>
            </c:ext>
          </c:extLst>
        </c:ser>
        <c:ser>
          <c:idx val="4"/>
          <c:order val="4"/>
          <c:tx>
            <c:strRef>
              <c:f>Comparisons!$T$2</c:f>
              <c:strCache>
                <c:ptCount val="1"/>
                <c:pt idx="0">
                  <c:v>Venezuela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Comparisons!$O$3:$O$26</c:f>
              <c:strCache>
                <c:ptCount val="24"/>
                <c:pt idx="0">
                  <c:v>t-3</c:v>
                </c:pt>
                <c:pt idx="1">
                  <c:v>t-2</c:v>
                </c:pt>
                <c:pt idx="2">
                  <c:v>t-1</c:v>
                </c:pt>
                <c:pt idx="3">
                  <c:v>t</c:v>
                </c:pt>
                <c:pt idx="4">
                  <c:v>t+1</c:v>
                </c:pt>
                <c:pt idx="5">
                  <c:v>t+2</c:v>
                </c:pt>
                <c:pt idx="6">
                  <c:v>t+3</c:v>
                </c:pt>
                <c:pt idx="7">
                  <c:v>t+4</c:v>
                </c:pt>
                <c:pt idx="8">
                  <c:v>t+5</c:v>
                </c:pt>
                <c:pt idx="9">
                  <c:v>t+6</c:v>
                </c:pt>
                <c:pt idx="10">
                  <c:v>t+7</c:v>
                </c:pt>
                <c:pt idx="11">
                  <c:v>t+8</c:v>
                </c:pt>
                <c:pt idx="12">
                  <c:v>t+9</c:v>
                </c:pt>
                <c:pt idx="13">
                  <c:v>t+10</c:v>
                </c:pt>
                <c:pt idx="14">
                  <c:v>t+11</c:v>
                </c:pt>
                <c:pt idx="15">
                  <c:v>t+12</c:v>
                </c:pt>
                <c:pt idx="16">
                  <c:v>t+13</c:v>
                </c:pt>
                <c:pt idx="17">
                  <c:v>t+14</c:v>
                </c:pt>
                <c:pt idx="18">
                  <c:v>t+15</c:v>
                </c:pt>
                <c:pt idx="19">
                  <c:v>t+16</c:v>
                </c:pt>
                <c:pt idx="20">
                  <c:v>t+17</c:v>
                </c:pt>
                <c:pt idx="21">
                  <c:v>t+18</c:v>
                </c:pt>
                <c:pt idx="22">
                  <c:v>t+19</c:v>
                </c:pt>
                <c:pt idx="23">
                  <c:v>t+20</c:v>
                </c:pt>
              </c:strCache>
            </c:strRef>
          </c:cat>
          <c:val>
            <c:numRef>
              <c:f>Comparisons!$T$3:$T$26</c:f>
              <c:numCache>
                <c:formatCode>General</c:formatCode>
                <c:ptCount val="24"/>
                <c:pt idx="0">
                  <c:v>100</c:v>
                </c:pt>
                <c:pt idx="1">
                  <c:v>106.37092109930974</c:v>
                </c:pt>
                <c:pt idx="2">
                  <c:v>106.6836237214375</c:v>
                </c:pt>
                <c:pt idx="3">
                  <c:v>100.31403456709238</c:v>
                </c:pt>
                <c:pt idx="4">
                  <c:v>104.01263262271152</c:v>
                </c:pt>
                <c:pt idx="5">
                  <c:v>107.54310116822229</c:v>
                </c:pt>
                <c:pt idx="6">
                  <c:v>98.019390226461837</c:v>
                </c:pt>
                <c:pt idx="7">
                  <c:v>90.417782424278357</c:v>
                </c:pt>
                <c:pt idx="8">
                  <c:v>106.95193832622924</c:v>
                </c:pt>
                <c:pt idx="9">
                  <c:v>117.98714041386651</c:v>
                </c:pt>
                <c:pt idx="10">
                  <c:v>129.63506762969587</c:v>
                </c:pt>
                <c:pt idx="11">
                  <c:v>140.98296472834676</c:v>
                </c:pt>
                <c:pt idx="12">
                  <c:v>148.42380296774081</c:v>
                </c:pt>
                <c:pt idx="13">
                  <c:v>143.67069266694276</c:v>
                </c:pt>
                <c:pt idx="14">
                  <c:v>141.53177172046418</c:v>
                </c:pt>
                <c:pt idx="15">
                  <c:v>147.44285214018058</c:v>
                </c:pt>
                <c:pt idx="16">
                  <c:v>155.73782482427271</c:v>
                </c:pt>
                <c:pt idx="17">
                  <c:v>157.82958730788883</c:v>
                </c:pt>
                <c:pt idx="18">
                  <c:v>151.68304946287986</c:v>
                </c:pt>
                <c:pt idx="19">
                  <c:v>142.2462878884113</c:v>
                </c:pt>
                <c:pt idx="20">
                  <c:v>118.00703586608124</c:v>
                </c:pt>
                <c:pt idx="21">
                  <c:v>99.513680254509566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40F-BF44-B19C-303A7413B3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5774896"/>
        <c:axId val="1355783152"/>
      </c:lineChart>
      <c:catAx>
        <c:axId val="1355774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5783152"/>
        <c:crosses val="autoZero"/>
        <c:auto val="1"/>
        <c:lblAlgn val="ctr"/>
        <c:lblOffset val="100"/>
        <c:noMultiLvlLbl val="0"/>
      </c:catAx>
      <c:valAx>
        <c:axId val="1355783152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5774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Gov Spending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Comparisons!$W$2</c:f>
              <c:strCache>
                <c:ptCount val="1"/>
                <c:pt idx="0">
                  <c:v>Argentina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Comparisons!$V$3:$V$24</c:f>
              <c:strCache>
                <c:ptCount val="22"/>
                <c:pt idx="0">
                  <c:v>t-3</c:v>
                </c:pt>
                <c:pt idx="1">
                  <c:v>t-2</c:v>
                </c:pt>
                <c:pt idx="2">
                  <c:v>t-1</c:v>
                </c:pt>
                <c:pt idx="3">
                  <c:v>t</c:v>
                </c:pt>
                <c:pt idx="4">
                  <c:v>t+1</c:v>
                </c:pt>
                <c:pt idx="5">
                  <c:v>t+2</c:v>
                </c:pt>
                <c:pt idx="6">
                  <c:v>t+3</c:v>
                </c:pt>
                <c:pt idx="7">
                  <c:v>t+4</c:v>
                </c:pt>
                <c:pt idx="8">
                  <c:v>t+5</c:v>
                </c:pt>
                <c:pt idx="9">
                  <c:v>t+6</c:v>
                </c:pt>
                <c:pt idx="10">
                  <c:v>t+7</c:v>
                </c:pt>
                <c:pt idx="11">
                  <c:v>t+8</c:v>
                </c:pt>
                <c:pt idx="12">
                  <c:v>t+9</c:v>
                </c:pt>
                <c:pt idx="13">
                  <c:v>t+10</c:v>
                </c:pt>
                <c:pt idx="14">
                  <c:v>t+11</c:v>
                </c:pt>
                <c:pt idx="15">
                  <c:v>t+12</c:v>
                </c:pt>
                <c:pt idx="16">
                  <c:v>t+13</c:v>
                </c:pt>
                <c:pt idx="17">
                  <c:v>t+14</c:v>
                </c:pt>
                <c:pt idx="18">
                  <c:v>t+15</c:v>
                </c:pt>
                <c:pt idx="19">
                  <c:v>t+16</c:v>
                </c:pt>
                <c:pt idx="20">
                  <c:v>t+17</c:v>
                </c:pt>
                <c:pt idx="21">
                  <c:v>t+18</c:v>
                </c:pt>
              </c:strCache>
            </c:strRef>
          </c:cat>
          <c:val>
            <c:numRef>
              <c:f>Comparisons!$W$3:$W$24</c:f>
              <c:numCache>
                <c:formatCode>_(* #,##0.00_);_(* \(#,##0.00\);_(* "-"??_);_(@_)</c:formatCode>
                <c:ptCount val="22"/>
                <c:pt idx="0">
                  <c:v>100</c:v>
                </c:pt>
                <c:pt idx="1">
                  <c:v>91.131513742461536</c:v>
                </c:pt>
                <c:pt idx="2">
                  <c:v>90.383511292932468</c:v>
                </c:pt>
                <c:pt idx="3">
                  <c:v>97.454581857006573</c:v>
                </c:pt>
                <c:pt idx="4">
                  <c:v>97.211974812064213</c:v>
                </c:pt>
                <c:pt idx="5">
                  <c:v>105.71664492512924</c:v>
                </c:pt>
                <c:pt idx="6">
                  <c:v>114.62998302566633</c:v>
                </c:pt>
                <c:pt idx="7">
                  <c:v>120.58366060822989</c:v>
                </c:pt>
                <c:pt idx="8">
                  <c:v>116.01514195013631</c:v>
                </c:pt>
                <c:pt idx="9">
                  <c:v>121.40226820245789</c:v>
                </c:pt>
                <c:pt idx="10">
                  <c:v>121.72495925451972</c:v>
                </c:pt>
                <c:pt idx="11">
                  <c:v>123.49042696636006</c:v>
                </c:pt>
                <c:pt idx="12">
                  <c:v>103.3672353222584</c:v>
                </c:pt>
                <c:pt idx="13">
                  <c:v>109.50166447958476</c:v>
                </c:pt>
                <c:pt idx="14">
                  <c:v>102.0331912803649</c:v>
                </c:pt>
                <c:pt idx="15">
                  <c:v>110.19425406191165</c:v>
                </c:pt>
                <c:pt idx="16">
                  <c:v>97.652213228119351</c:v>
                </c:pt>
                <c:pt idx="17">
                  <c:v>79.290585657653594</c:v>
                </c:pt>
                <c:pt idx="18">
                  <c:v>94.98434187709519</c:v>
                </c:pt>
                <c:pt idx="19">
                  <c:v>101.18461482533441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4B-824A-A0F7-FAA78ED6B401}"/>
            </c:ext>
          </c:extLst>
        </c:ser>
        <c:ser>
          <c:idx val="1"/>
          <c:order val="1"/>
          <c:tx>
            <c:strRef>
              <c:f>Comparisons!$X$2</c:f>
              <c:strCache>
                <c:ptCount val="1"/>
                <c:pt idx="0">
                  <c:v>Bolivia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Comparisons!$V$3:$V$24</c:f>
              <c:strCache>
                <c:ptCount val="22"/>
                <c:pt idx="0">
                  <c:v>t-3</c:v>
                </c:pt>
                <c:pt idx="1">
                  <c:v>t-2</c:v>
                </c:pt>
                <c:pt idx="2">
                  <c:v>t-1</c:v>
                </c:pt>
                <c:pt idx="3">
                  <c:v>t</c:v>
                </c:pt>
                <c:pt idx="4">
                  <c:v>t+1</c:v>
                </c:pt>
                <c:pt idx="5">
                  <c:v>t+2</c:v>
                </c:pt>
                <c:pt idx="6">
                  <c:v>t+3</c:v>
                </c:pt>
                <c:pt idx="7">
                  <c:v>t+4</c:v>
                </c:pt>
                <c:pt idx="8">
                  <c:v>t+5</c:v>
                </c:pt>
                <c:pt idx="9">
                  <c:v>t+6</c:v>
                </c:pt>
                <c:pt idx="10">
                  <c:v>t+7</c:v>
                </c:pt>
                <c:pt idx="11">
                  <c:v>t+8</c:v>
                </c:pt>
                <c:pt idx="12">
                  <c:v>t+9</c:v>
                </c:pt>
                <c:pt idx="13">
                  <c:v>t+10</c:v>
                </c:pt>
                <c:pt idx="14">
                  <c:v>t+11</c:v>
                </c:pt>
                <c:pt idx="15">
                  <c:v>t+12</c:v>
                </c:pt>
                <c:pt idx="16">
                  <c:v>t+13</c:v>
                </c:pt>
                <c:pt idx="17">
                  <c:v>t+14</c:v>
                </c:pt>
                <c:pt idx="18">
                  <c:v>t+15</c:v>
                </c:pt>
                <c:pt idx="19">
                  <c:v>t+16</c:v>
                </c:pt>
                <c:pt idx="20">
                  <c:v>t+17</c:v>
                </c:pt>
                <c:pt idx="21">
                  <c:v>t+18</c:v>
                </c:pt>
              </c:strCache>
            </c:strRef>
          </c:cat>
          <c:val>
            <c:numRef>
              <c:f>Comparisons!$X$3:$X$24</c:f>
              <c:numCache>
                <c:formatCode>General</c:formatCode>
                <c:ptCount val="22"/>
                <c:pt idx="0">
                  <c:v>100</c:v>
                </c:pt>
                <c:pt idx="1">
                  <c:v>97.060780114491038</c:v>
                </c:pt>
                <c:pt idx="2">
                  <c:v>95.380723306644029</c:v>
                </c:pt>
                <c:pt idx="3">
                  <c:v>92.814296494505641</c:v>
                </c:pt>
                <c:pt idx="4">
                  <c:v>91.07909479527703</c:v>
                </c:pt>
                <c:pt idx="5">
                  <c:v>85.637952564052398</c:v>
                </c:pt>
                <c:pt idx="6">
                  <c:v>84.276839732695294</c:v>
                </c:pt>
                <c:pt idx="7">
                  <c:v>79.704125937424536</c:v>
                </c:pt>
                <c:pt idx="8">
                  <c:v>78.561782971706904</c:v>
                </c:pt>
                <c:pt idx="9">
                  <c:v>72.016599804968479</c:v>
                </c:pt>
                <c:pt idx="10">
                  <c:v>81.213517966526936</c:v>
                </c:pt>
                <c:pt idx="11">
                  <c:v>93.600219397385885</c:v>
                </c:pt>
                <c:pt idx="12">
                  <c:v>119.06168768439267</c:v>
                </c:pt>
                <c:pt idx="13">
                  <c:v>126.36407802295268</c:v>
                </c:pt>
                <c:pt idx="14">
                  <c:v>132.84673263626817</c:v>
                </c:pt>
                <c:pt idx="15">
                  <c:v>139.1776606192214</c:v>
                </c:pt>
                <c:pt idx="16">
                  <c:v>144.99751254666205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4B-824A-A0F7-FAA78ED6B401}"/>
            </c:ext>
          </c:extLst>
        </c:ser>
        <c:ser>
          <c:idx val="2"/>
          <c:order val="2"/>
          <c:tx>
            <c:strRef>
              <c:f>Comparisons!$Y$2</c:f>
              <c:strCache>
                <c:ptCount val="1"/>
                <c:pt idx="0">
                  <c:v>Ecuador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Comparisons!$V$3:$V$24</c:f>
              <c:strCache>
                <c:ptCount val="22"/>
                <c:pt idx="0">
                  <c:v>t-3</c:v>
                </c:pt>
                <c:pt idx="1">
                  <c:v>t-2</c:v>
                </c:pt>
                <c:pt idx="2">
                  <c:v>t-1</c:v>
                </c:pt>
                <c:pt idx="3">
                  <c:v>t</c:v>
                </c:pt>
                <c:pt idx="4">
                  <c:v>t+1</c:v>
                </c:pt>
                <c:pt idx="5">
                  <c:v>t+2</c:v>
                </c:pt>
                <c:pt idx="6">
                  <c:v>t+3</c:v>
                </c:pt>
                <c:pt idx="7">
                  <c:v>t+4</c:v>
                </c:pt>
                <c:pt idx="8">
                  <c:v>t+5</c:v>
                </c:pt>
                <c:pt idx="9">
                  <c:v>t+6</c:v>
                </c:pt>
                <c:pt idx="10">
                  <c:v>t+7</c:v>
                </c:pt>
                <c:pt idx="11">
                  <c:v>t+8</c:v>
                </c:pt>
                <c:pt idx="12">
                  <c:v>t+9</c:v>
                </c:pt>
                <c:pt idx="13">
                  <c:v>t+10</c:v>
                </c:pt>
                <c:pt idx="14">
                  <c:v>t+11</c:v>
                </c:pt>
                <c:pt idx="15">
                  <c:v>t+12</c:v>
                </c:pt>
                <c:pt idx="16">
                  <c:v>t+13</c:v>
                </c:pt>
                <c:pt idx="17">
                  <c:v>t+14</c:v>
                </c:pt>
                <c:pt idx="18">
                  <c:v>t+15</c:v>
                </c:pt>
                <c:pt idx="19">
                  <c:v>t+16</c:v>
                </c:pt>
                <c:pt idx="20">
                  <c:v>t+17</c:v>
                </c:pt>
                <c:pt idx="21">
                  <c:v>t+18</c:v>
                </c:pt>
              </c:strCache>
            </c:strRef>
          </c:cat>
          <c:val>
            <c:numRef>
              <c:f>Comparisons!$Y$3:$Y$24</c:f>
              <c:numCache>
                <c:formatCode>General</c:formatCode>
                <c:ptCount val="22"/>
                <c:pt idx="0">
                  <c:v>100</c:v>
                </c:pt>
                <c:pt idx="1">
                  <c:v>94.508074693391777</c:v>
                </c:pt>
                <c:pt idx="2">
                  <c:v>96.952108014422976</c:v>
                </c:pt>
                <c:pt idx="3">
                  <c:v>101.46661847827936</c:v>
                </c:pt>
                <c:pt idx="4">
                  <c:v>110.57710116521606</c:v>
                </c:pt>
                <c:pt idx="5">
                  <c:v>129.22100255398894</c:v>
                </c:pt>
                <c:pt idx="6">
                  <c:v>133.08149414740959</c:v>
                </c:pt>
                <c:pt idx="7">
                  <c:v>146.55079149128088</c:v>
                </c:pt>
                <c:pt idx="8">
                  <c:v>144.04625470716738</c:v>
                </c:pt>
                <c:pt idx="9">
                  <c:v>160.45536133908885</c:v>
                </c:pt>
                <c:pt idx="10">
                  <c:v>176.78412614322389</c:v>
                </c:pt>
                <c:pt idx="11">
                  <c:v>189.03165808530809</c:v>
                </c:pt>
                <c:pt idx="12">
                  <c:v>194.87368251736856</c:v>
                </c:pt>
                <c:pt idx="13">
                  <c:v>205.84020671643711</c:v>
                </c:pt>
                <c:pt idx="14">
                  <c:v>212.40454636986397</c:v>
                </c:pt>
                <c:pt idx="15">
                  <c:v>210.19251062003673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4B-824A-A0F7-FAA78ED6B401}"/>
            </c:ext>
          </c:extLst>
        </c:ser>
        <c:ser>
          <c:idx val="3"/>
          <c:order val="3"/>
          <c:tx>
            <c:strRef>
              <c:f>Comparisons!$Z$2</c:f>
              <c:strCache>
                <c:ptCount val="1"/>
                <c:pt idx="0">
                  <c:v>Nicaragua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Comparisons!$V$3:$V$24</c:f>
              <c:strCache>
                <c:ptCount val="22"/>
                <c:pt idx="0">
                  <c:v>t-3</c:v>
                </c:pt>
                <c:pt idx="1">
                  <c:v>t-2</c:v>
                </c:pt>
                <c:pt idx="2">
                  <c:v>t-1</c:v>
                </c:pt>
                <c:pt idx="3">
                  <c:v>t</c:v>
                </c:pt>
                <c:pt idx="4">
                  <c:v>t+1</c:v>
                </c:pt>
                <c:pt idx="5">
                  <c:v>t+2</c:v>
                </c:pt>
                <c:pt idx="6">
                  <c:v>t+3</c:v>
                </c:pt>
                <c:pt idx="7">
                  <c:v>t+4</c:v>
                </c:pt>
                <c:pt idx="8">
                  <c:v>t+5</c:v>
                </c:pt>
                <c:pt idx="9">
                  <c:v>t+6</c:v>
                </c:pt>
                <c:pt idx="10">
                  <c:v>t+7</c:v>
                </c:pt>
                <c:pt idx="11">
                  <c:v>t+8</c:v>
                </c:pt>
                <c:pt idx="12">
                  <c:v>t+9</c:v>
                </c:pt>
                <c:pt idx="13">
                  <c:v>t+10</c:v>
                </c:pt>
                <c:pt idx="14">
                  <c:v>t+11</c:v>
                </c:pt>
                <c:pt idx="15">
                  <c:v>t+12</c:v>
                </c:pt>
                <c:pt idx="16">
                  <c:v>t+13</c:v>
                </c:pt>
                <c:pt idx="17">
                  <c:v>t+14</c:v>
                </c:pt>
                <c:pt idx="18">
                  <c:v>t+15</c:v>
                </c:pt>
                <c:pt idx="19">
                  <c:v>t+16</c:v>
                </c:pt>
                <c:pt idx="20">
                  <c:v>t+17</c:v>
                </c:pt>
                <c:pt idx="21">
                  <c:v>t+18</c:v>
                </c:pt>
              </c:strCache>
            </c:strRef>
          </c:cat>
          <c:val>
            <c:numRef>
              <c:f>Comparisons!$Z$3:$Z$24</c:f>
              <c:numCache>
                <c:formatCode>General</c:formatCode>
                <c:ptCount val="22"/>
                <c:pt idx="0">
                  <c:v>100</c:v>
                </c:pt>
                <c:pt idx="1">
                  <c:v>108.68469822727072</c:v>
                </c:pt>
                <c:pt idx="2">
                  <c:v>114.83529248673332</c:v>
                </c:pt>
                <c:pt idx="3">
                  <c:v>116.04957241011897</c:v>
                </c:pt>
                <c:pt idx="4">
                  <c:v>127.51226849829681</c:v>
                </c:pt>
                <c:pt idx="5">
                  <c:v>129.34739051092464</c:v>
                </c:pt>
                <c:pt idx="6">
                  <c:v>136.79256354264024</c:v>
                </c:pt>
                <c:pt idx="7">
                  <c:v>147.5932544366774</c:v>
                </c:pt>
                <c:pt idx="8">
                  <c:v>151.14276166172289</c:v>
                </c:pt>
                <c:pt idx="9">
                  <c:v>169.3556626282178</c:v>
                </c:pt>
                <c:pt idx="10">
                  <c:v>187.21077302067013</c:v>
                </c:pt>
                <c:pt idx="11">
                  <c:v>205.01049568344158</c:v>
                </c:pt>
                <c:pt idx="12">
                  <c:v>223.76466711721184</c:v>
                </c:pt>
                <c:pt idx="13">
                  <c:v>240.23532245736891</c:v>
                </c:pt>
                <c:pt idx="14">
                  <c:v>243.62592496912185</c:v>
                </c:pt>
                <c:pt idx="15">
                  <c:v>244.33597061333393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C4B-824A-A0F7-FAA78ED6B401}"/>
            </c:ext>
          </c:extLst>
        </c:ser>
        <c:ser>
          <c:idx val="4"/>
          <c:order val="4"/>
          <c:tx>
            <c:strRef>
              <c:f>Comparisons!$AA$2</c:f>
              <c:strCache>
                <c:ptCount val="1"/>
                <c:pt idx="0">
                  <c:v>Venezuela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Comparisons!$V$3:$V$24</c:f>
              <c:strCache>
                <c:ptCount val="22"/>
                <c:pt idx="0">
                  <c:v>t-3</c:v>
                </c:pt>
                <c:pt idx="1">
                  <c:v>t-2</c:v>
                </c:pt>
                <c:pt idx="2">
                  <c:v>t-1</c:v>
                </c:pt>
                <c:pt idx="3">
                  <c:v>t</c:v>
                </c:pt>
                <c:pt idx="4">
                  <c:v>t+1</c:v>
                </c:pt>
                <c:pt idx="5">
                  <c:v>t+2</c:v>
                </c:pt>
                <c:pt idx="6">
                  <c:v>t+3</c:v>
                </c:pt>
                <c:pt idx="7">
                  <c:v>t+4</c:v>
                </c:pt>
                <c:pt idx="8">
                  <c:v>t+5</c:v>
                </c:pt>
                <c:pt idx="9">
                  <c:v>t+6</c:v>
                </c:pt>
                <c:pt idx="10">
                  <c:v>t+7</c:v>
                </c:pt>
                <c:pt idx="11">
                  <c:v>t+8</c:v>
                </c:pt>
                <c:pt idx="12">
                  <c:v>t+9</c:v>
                </c:pt>
                <c:pt idx="13">
                  <c:v>t+10</c:v>
                </c:pt>
                <c:pt idx="14">
                  <c:v>t+11</c:v>
                </c:pt>
                <c:pt idx="15">
                  <c:v>t+12</c:v>
                </c:pt>
                <c:pt idx="16">
                  <c:v>t+13</c:v>
                </c:pt>
                <c:pt idx="17">
                  <c:v>t+14</c:v>
                </c:pt>
                <c:pt idx="18">
                  <c:v>t+15</c:v>
                </c:pt>
                <c:pt idx="19">
                  <c:v>t+16</c:v>
                </c:pt>
                <c:pt idx="20">
                  <c:v>t+17</c:v>
                </c:pt>
                <c:pt idx="21">
                  <c:v>t+18</c:v>
                </c:pt>
              </c:strCache>
            </c:strRef>
          </c:cat>
          <c:val>
            <c:numRef>
              <c:f>Comparisons!$AA$3:$AA$24</c:f>
              <c:numCache>
                <c:formatCode>General</c:formatCode>
                <c:ptCount val="22"/>
                <c:pt idx="0">
                  <c:v>100</c:v>
                </c:pt>
                <c:pt idx="1">
                  <c:v>98.797477709385674</c:v>
                </c:pt>
                <c:pt idx="2">
                  <c:v>93.891633779879115</c:v>
                </c:pt>
                <c:pt idx="3">
                  <c:v>72.542229107157041</c:v>
                </c:pt>
                <c:pt idx="4">
                  <c:v>59.715179580472245</c:v>
                </c:pt>
                <c:pt idx="5">
                  <c:v>64.376850884126924</c:v>
                </c:pt>
                <c:pt idx="6">
                  <c:v>54.891885136521744</c:v>
                </c:pt>
                <c:pt idx="7">
                  <c:v>53.127395554314937</c:v>
                </c:pt>
                <c:pt idx="8">
                  <c:v>53.384498245648601</c:v>
                </c:pt>
                <c:pt idx="9">
                  <c:v>50.288730000483262</c:v>
                </c:pt>
                <c:pt idx="10">
                  <c:v>55.133087560745388</c:v>
                </c:pt>
                <c:pt idx="11">
                  <c:v>64.573111222971022</c:v>
                </c:pt>
                <c:pt idx="12">
                  <c:v>65.206190585333516</c:v>
                </c:pt>
                <c:pt idx="13">
                  <c:v>78.413951589830432</c:v>
                </c:pt>
                <c:pt idx="14">
                  <c:v>71.727191129307954</c:v>
                </c:pt>
                <c:pt idx="15">
                  <c:v>78.782340893243813</c:v>
                </c:pt>
                <c:pt idx="16">
                  <c:v>82.461283805020031</c:v>
                </c:pt>
                <c:pt idx="17">
                  <c:v>94.338281448273051</c:v>
                </c:pt>
                <c:pt idx="18">
                  <c:v>105.97341049396786</c:v>
                </c:pt>
                <c:pt idx="19">
                  <c:v>92.056564647385699</c:v>
                </c:pt>
                <c:pt idx="20">
                  <c:v>100.61760713113514</c:v>
                </c:pt>
                <c:pt idx="21">
                  <c:v>80.99313425846411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C4B-824A-A0F7-FAA78ED6B4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2731600"/>
        <c:axId val="1422097008"/>
      </c:lineChart>
      <c:catAx>
        <c:axId val="142273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097008"/>
        <c:crosses val="autoZero"/>
        <c:auto val="1"/>
        <c:lblAlgn val="ctr"/>
        <c:lblOffset val="100"/>
        <c:noMultiLvlLbl val="0"/>
      </c:catAx>
      <c:valAx>
        <c:axId val="142209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731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558800</xdr:colOff>
      <xdr:row>29</xdr:row>
      <xdr:rowOff>12700</xdr:rowOff>
    </xdr:from>
    <xdr:to>
      <xdr:col>17</xdr:col>
      <xdr:colOff>12700</xdr:colOff>
      <xdr:row>54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A91189-9522-6944-9AAD-7A32BA829A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29</xdr:row>
      <xdr:rowOff>12700</xdr:rowOff>
    </xdr:from>
    <xdr:to>
      <xdr:col>8</xdr:col>
      <xdr:colOff>533400</xdr:colOff>
      <xdr:row>55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E8F76AC-71B6-D247-9A40-8102971359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54</xdr:row>
      <xdr:rowOff>177800</xdr:rowOff>
    </xdr:from>
    <xdr:to>
      <xdr:col>8</xdr:col>
      <xdr:colOff>520700</xdr:colOff>
      <xdr:row>77</xdr:row>
      <xdr:rowOff>12700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E004571-36EF-A34E-9910-CEAAB5A508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514350</xdr:colOff>
      <xdr:row>54</xdr:row>
      <xdr:rowOff>177800</xdr:rowOff>
    </xdr:from>
    <xdr:to>
      <xdr:col>17</xdr:col>
      <xdr:colOff>12700</xdr:colOff>
      <xdr:row>76</xdr:row>
      <xdr:rowOff>165100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9884C6A-D3B9-6C41-B830-CA0527E965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exastechuniversity-my.sharepoint.com/personal/joao-pedro_bastos_ttu_edu/Documents/Personal/Projects/Papers/Populism/Data/pwt1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Legend"/>
      <sheetName val="Data"/>
    </sheetNames>
    <sheetDataSet>
      <sheetData sheetId="0"/>
      <sheetData sheetId="1"/>
      <sheetData sheetId="2">
        <row r="397">
          <cell r="S397">
            <v>595788.8125</v>
          </cell>
        </row>
        <row r="398">
          <cell r="S398">
            <v>628716.125</v>
          </cell>
        </row>
        <row r="399">
          <cell r="S399">
            <v>679711.625</v>
          </cell>
        </row>
        <row r="400">
          <cell r="S400">
            <v>705881.75</v>
          </cell>
        </row>
        <row r="401">
          <cell r="S401">
            <v>681984.4375</v>
          </cell>
        </row>
        <row r="402">
          <cell r="S402">
            <v>676603.6875</v>
          </cell>
        </row>
        <row r="403">
          <cell r="S403">
            <v>646773.3125</v>
          </cell>
        </row>
        <row r="404">
          <cell r="S404">
            <v>576310.625</v>
          </cell>
        </row>
        <row r="405">
          <cell r="S405">
            <v>627239.5</v>
          </cell>
        </row>
        <row r="406">
          <cell r="S406">
            <v>683876.5</v>
          </cell>
        </row>
        <row r="407">
          <cell r="S407">
            <v>744411</v>
          </cell>
        </row>
        <row r="408">
          <cell r="S408">
            <v>804314.8125</v>
          </cell>
        </row>
        <row r="409">
          <cell r="S409">
            <v>876764.6875</v>
          </cell>
        </row>
        <row r="410">
          <cell r="S410">
            <v>912337.0625</v>
          </cell>
        </row>
        <row r="411">
          <cell r="S411">
            <v>858340.1875</v>
          </cell>
        </row>
        <row r="412">
          <cell r="S412">
            <v>945250.5625</v>
          </cell>
        </row>
        <row r="413">
          <cell r="S413">
            <v>1002002.9375</v>
          </cell>
        </row>
        <row r="414">
          <cell r="S414">
            <v>991718.125</v>
          </cell>
        </row>
        <row r="415">
          <cell r="S415">
            <v>1015572.1875</v>
          </cell>
        </row>
        <row r="416">
          <cell r="S416">
            <v>990054.75</v>
          </cell>
        </row>
        <row r="417">
          <cell r="S417">
            <v>1017094.75</v>
          </cell>
        </row>
        <row r="418">
          <cell r="S418">
            <v>995935.8125</v>
          </cell>
        </row>
        <row r="419">
          <cell r="S419">
            <v>1022513.25</v>
          </cell>
        </row>
        <row r="420">
          <cell r="S420">
            <v>997136.625</v>
          </cell>
        </row>
        <row r="421">
          <cell r="S421">
            <v>975569</v>
          </cell>
        </row>
        <row r="1657">
          <cell r="S1657">
            <v>37366.41796875</v>
          </cell>
        </row>
        <row r="1658">
          <cell r="S1658">
            <v>38996.91796875</v>
          </cell>
        </row>
        <row r="1659">
          <cell r="S1659">
            <v>40928.90625</v>
          </cell>
        </row>
        <row r="1660">
          <cell r="S1660">
            <v>42987.36328125</v>
          </cell>
        </row>
        <row r="1661">
          <cell r="S1661">
            <v>43170.87109375</v>
          </cell>
        </row>
        <row r="1662">
          <cell r="S1662">
            <v>44253.515625</v>
          </cell>
        </row>
        <row r="1663">
          <cell r="S1663">
            <v>44998.65625</v>
          </cell>
        </row>
        <row r="1664">
          <cell r="S1664">
            <v>46117.125</v>
          </cell>
        </row>
        <row r="1665">
          <cell r="S1665">
            <v>47367.51953125</v>
          </cell>
        </row>
        <row r="1666">
          <cell r="S1666">
            <v>49344.3046875</v>
          </cell>
        </row>
        <row r="1667">
          <cell r="S1667">
            <v>51525.94921875</v>
          </cell>
        </row>
        <row r="1668">
          <cell r="S1668">
            <v>53997.71484375</v>
          </cell>
        </row>
        <row r="1669">
          <cell r="S1669">
            <v>56462.34765625</v>
          </cell>
        </row>
        <row r="1670">
          <cell r="S1670">
            <v>59933.9375</v>
          </cell>
        </row>
        <row r="1671">
          <cell r="S1671">
            <v>61946.06640625</v>
          </cell>
        </row>
        <row r="1672">
          <cell r="S1672">
            <v>64502.35546875</v>
          </cell>
        </row>
        <row r="1673">
          <cell r="S1673">
            <v>67859.078125</v>
          </cell>
        </row>
        <row r="1674">
          <cell r="S1674">
            <v>71335.0078125</v>
          </cell>
        </row>
        <row r="1675">
          <cell r="S1675">
            <v>76182.9453125</v>
          </cell>
        </row>
        <row r="1676">
          <cell r="S1676">
            <v>80342.9609375</v>
          </cell>
        </row>
        <row r="1677">
          <cell r="S1677">
            <v>84245.3671875</v>
          </cell>
        </row>
        <row r="1678">
          <cell r="S1678">
            <v>87837.5078125</v>
          </cell>
        </row>
        <row r="1679">
          <cell r="S1679">
            <v>91522.484375</v>
          </cell>
        </row>
        <row r="1680">
          <cell r="S1680">
            <v>95388.0625</v>
          </cell>
        </row>
        <row r="1681">
          <cell r="S1681">
            <v>97502.5234375</v>
          </cell>
        </row>
        <row r="3687">
          <cell r="S3687">
            <v>96504.171875</v>
          </cell>
        </row>
        <row r="3688">
          <cell r="S3688">
            <v>98175.3828125</v>
          </cell>
        </row>
        <row r="3689">
          <cell r="S3689">
            <v>102424.2734375</v>
          </cell>
        </row>
        <row r="3690">
          <cell r="S3690">
            <v>105769.9921875</v>
          </cell>
        </row>
        <row r="3691">
          <cell r="S3691">
            <v>100757.1484375</v>
          </cell>
        </row>
        <row r="3692">
          <cell r="S3692">
            <v>101857.2109375</v>
          </cell>
        </row>
        <row r="3693">
          <cell r="S3693">
            <v>105947.421875</v>
          </cell>
        </row>
        <row r="3694">
          <cell r="S3694">
            <v>110287.8515625</v>
          </cell>
        </row>
        <row r="3695">
          <cell r="S3695">
            <v>113290.859375</v>
          </cell>
        </row>
        <row r="3696">
          <cell r="S3696">
            <v>122593.1953125</v>
          </cell>
        </row>
        <row r="3697">
          <cell r="S3697">
            <v>129079.984375</v>
          </cell>
        </row>
        <row r="3698">
          <cell r="S3698">
            <v>134764</v>
          </cell>
        </row>
        <row r="3699">
          <cell r="S3699">
            <v>137715.46875</v>
          </cell>
        </row>
        <row r="3700">
          <cell r="S3700">
            <v>146470.21875</v>
          </cell>
        </row>
        <row r="3701">
          <cell r="S3701">
            <v>147299.96875</v>
          </cell>
        </row>
        <row r="3702">
          <cell r="S3702">
            <v>152492.71875</v>
          </cell>
        </row>
        <row r="3703">
          <cell r="S3703">
            <v>164491.0625</v>
          </cell>
        </row>
        <row r="3704">
          <cell r="S3704">
            <v>173771.59375</v>
          </cell>
        </row>
        <row r="3705">
          <cell r="S3705">
            <v>182367.21875</v>
          </cell>
        </row>
        <row r="3706">
          <cell r="S3706">
            <v>189276.875</v>
          </cell>
        </row>
        <row r="3707">
          <cell r="S3707">
            <v>189464.015625</v>
          </cell>
        </row>
        <row r="3708">
          <cell r="S3708">
            <v>187140.453125</v>
          </cell>
        </row>
        <row r="3709">
          <cell r="S3709">
            <v>191572.671875</v>
          </cell>
        </row>
        <row r="3710">
          <cell r="S3710">
            <v>194042.609375</v>
          </cell>
        </row>
        <row r="3711">
          <cell r="S3711">
            <v>194146.828125</v>
          </cell>
        </row>
        <row r="8797">
          <cell r="S8797">
            <v>14830.3994140625</v>
          </cell>
        </row>
        <row r="8798">
          <cell r="S8798">
            <v>15771.466796875</v>
          </cell>
        </row>
        <row r="8799">
          <cell r="S8799">
            <v>16397.06640625</v>
          </cell>
        </row>
        <row r="8800">
          <cell r="S8800">
            <v>17005.673828125</v>
          </cell>
        </row>
        <row r="8801">
          <cell r="S8801">
            <v>18202.185546875</v>
          </cell>
        </row>
        <row r="8802">
          <cell r="S8802">
            <v>18948.765625</v>
          </cell>
        </row>
        <row r="8803">
          <cell r="S8803">
            <v>19509.80859375</v>
          </cell>
        </row>
        <row r="8804">
          <cell r="S8804">
            <v>19656.90234375</v>
          </cell>
        </row>
        <row r="8805">
          <cell r="S8805">
            <v>20152.3984375</v>
          </cell>
        </row>
        <row r="8806">
          <cell r="S8806">
            <v>21222.9296875</v>
          </cell>
        </row>
        <row r="8807">
          <cell r="S8807">
            <v>22131.779296875</v>
          </cell>
        </row>
        <row r="8808">
          <cell r="S8808">
            <v>23050.705078125</v>
          </cell>
        </row>
        <row r="8809">
          <cell r="S8809">
            <v>24220.841796875</v>
          </cell>
        </row>
        <row r="8810">
          <cell r="S8810">
            <v>25053</v>
          </cell>
        </row>
        <row r="8811">
          <cell r="S8811">
            <v>24228.087890625</v>
          </cell>
        </row>
        <row r="8812">
          <cell r="S8812">
            <v>25296.572265625</v>
          </cell>
        </row>
        <row r="8813">
          <cell r="S8813">
            <v>26894.470703125</v>
          </cell>
        </row>
        <row r="8814">
          <cell r="S8814">
            <v>28641.5703125</v>
          </cell>
        </row>
        <row r="8815">
          <cell r="S8815">
            <v>30052.76953125</v>
          </cell>
        </row>
        <row r="8816">
          <cell r="S8816">
            <v>31490.93359375</v>
          </cell>
        </row>
        <row r="8817">
          <cell r="S8817">
            <v>33000.0625</v>
          </cell>
        </row>
        <row r="8818">
          <cell r="S8818">
            <v>34505.90625</v>
          </cell>
        </row>
        <row r="8819">
          <cell r="S8819">
            <v>36103.9453125</v>
          </cell>
        </row>
        <row r="8820">
          <cell r="S8820">
            <v>34677.703125</v>
          </cell>
        </row>
        <row r="8821">
          <cell r="S8821">
            <v>33332.58203125</v>
          </cell>
        </row>
        <row r="12367">
          <cell r="S12367">
            <v>12856.1767578125</v>
          </cell>
        </row>
        <row r="12368">
          <cell r="S12368">
            <v>12830.7431640625</v>
          </cell>
        </row>
        <row r="12369">
          <cell r="S12369">
            <v>13648.1796875</v>
          </cell>
        </row>
        <row r="12370">
          <cell r="S12370">
            <v>13688.3017578125</v>
          </cell>
        </row>
        <row r="12371">
          <cell r="S12371">
            <v>12871.0361328125</v>
          </cell>
        </row>
        <row r="12372">
          <cell r="S12372">
            <v>13345.59375</v>
          </cell>
        </row>
        <row r="12373">
          <cell r="S12373">
            <v>13798.5791015625</v>
          </cell>
        </row>
        <row r="12374">
          <cell r="S12374">
            <v>12576.6162109375</v>
          </cell>
        </row>
        <row r="12375">
          <cell r="S12375">
            <v>11601.2734375</v>
          </cell>
        </row>
        <row r="12376">
          <cell r="S12376">
            <v>13722.728515625</v>
          </cell>
        </row>
        <row r="12377">
          <cell r="S12377">
            <v>15138.626953125</v>
          </cell>
        </row>
        <row r="12378">
          <cell r="S12378">
            <v>16633.142578125</v>
          </cell>
        </row>
        <row r="12379">
          <cell r="S12379">
            <v>18089.162109375</v>
          </cell>
        </row>
        <row r="12380">
          <cell r="S12380">
            <v>19043.876953125</v>
          </cell>
        </row>
        <row r="12381">
          <cell r="S12381">
            <v>18434.017578125</v>
          </cell>
        </row>
        <row r="12382">
          <cell r="S12382">
            <v>18159.578125</v>
          </cell>
        </row>
        <row r="12383">
          <cell r="S12383">
            <v>18918.013671875</v>
          </cell>
        </row>
        <row r="12384">
          <cell r="S12384">
            <v>19982.3203125</v>
          </cell>
        </row>
        <row r="12385">
          <cell r="S12385">
            <v>20250.708984375</v>
          </cell>
        </row>
        <row r="12386">
          <cell r="S12386">
            <v>19462.0625</v>
          </cell>
        </row>
        <row r="12387">
          <cell r="S12387">
            <v>18251.255859375</v>
          </cell>
        </row>
        <row r="12388">
          <cell r="S12388">
            <v>15141.1796875</v>
          </cell>
        </row>
        <row r="12389">
          <cell r="S12389">
            <v>12768.3447265625</v>
          </cell>
        </row>
        <row r="12390">
          <cell r="S12390">
            <v>10263.009765625</v>
          </cell>
        </row>
        <row r="12391">
          <cell r="S12391">
            <v>6670.9560546875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.worldbank.org/indicator/FP.CPI.TOTL.ZG" TargetMode="External"/><Relationship Id="rId1" Type="http://schemas.openxmlformats.org/officeDocument/2006/relationships/hyperlink" Target="https://data.worldbank.org/indicator/FI.RES.TOTL.CD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1000"/>
  <sheetViews>
    <sheetView workbookViewId="0">
      <pane xSplit="1" ySplit="1" topLeftCell="O2" activePane="bottomRight" state="frozen"/>
      <selection pane="topRight" activeCell="B1" sqref="B1"/>
      <selection pane="bottomLeft" activeCell="A2" sqref="A2"/>
      <selection pane="bottomRight" activeCell="H13" sqref="H13"/>
    </sheetView>
  </sheetViews>
  <sheetFormatPr defaultColWidth="14.3984375" defaultRowHeight="15" customHeight="1" x14ac:dyDescent="0.45"/>
  <cols>
    <col min="1" max="1" width="9" customWidth="1"/>
    <col min="2" max="48" width="15.73046875" customWidth="1"/>
    <col min="49" max="49" width="18.265625" customWidth="1"/>
    <col min="50" max="56" width="15.73046875" customWidth="1"/>
    <col min="57" max="57" width="18.265625" customWidth="1"/>
    <col min="58" max="64" width="15.73046875" customWidth="1"/>
    <col min="65" max="65" width="17.265625" customWidth="1"/>
    <col min="66" max="72" width="15.73046875" customWidth="1"/>
    <col min="73" max="73" width="17.265625" customWidth="1"/>
    <col min="74" max="80" width="15.73046875" customWidth="1"/>
    <col min="81" max="81" width="18.265625" customWidth="1"/>
    <col min="82" max="88" width="8.86328125" customWidth="1"/>
  </cols>
  <sheetData>
    <row r="1" spans="1:88" ht="15.75" x14ac:dyDescent="0.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3"/>
      <c r="AP1" s="4" t="s">
        <v>1</v>
      </c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5"/>
    </row>
    <row r="2" spans="1:88" ht="14.25" x14ac:dyDescent="0.45">
      <c r="A2" s="6"/>
      <c r="B2" s="125" t="s">
        <v>2</v>
      </c>
      <c r="C2" s="126"/>
      <c r="D2" s="126"/>
      <c r="E2" s="126"/>
      <c r="F2" s="126"/>
      <c r="G2" s="126"/>
      <c r="H2" s="126"/>
      <c r="I2" s="127"/>
      <c r="J2" s="128" t="s">
        <v>3</v>
      </c>
      <c r="K2" s="126"/>
      <c r="L2" s="126"/>
      <c r="M2" s="126"/>
      <c r="N2" s="126"/>
      <c r="O2" s="126"/>
      <c r="P2" s="126"/>
      <c r="Q2" s="129"/>
      <c r="R2" s="130" t="s">
        <v>4</v>
      </c>
      <c r="S2" s="126"/>
      <c r="T2" s="126"/>
      <c r="U2" s="126"/>
      <c r="V2" s="126"/>
      <c r="W2" s="126"/>
      <c r="X2" s="126"/>
      <c r="Y2" s="127"/>
      <c r="Z2" s="131" t="s">
        <v>5</v>
      </c>
      <c r="AA2" s="126"/>
      <c r="AB2" s="126"/>
      <c r="AC2" s="126"/>
      <c r="AD2" s="126"/>
      <c r="AE2" s="126"/>
      <c r="AF2" s="126"/>
      <c r="AG2" s="129"/>
      <c r="AH2" s="132" t="s">
        <v>6</v>
      </c>
      <c r="AI2" s="126"/>
      <c r="AJ2" s="126"/>
      <c r="AK2" s="126"/>
      <c r="AL2" s="126"/>
      <c r="AM2" s="126"/>
      <c r="AN2" s="126"/>
      <c r="AO2" s="133"/>
      <c r="AP2" s="125" t="s">
        <v>2</v>
      </c>
      <c r="AQ2" s="126"/>
      <c r="AR2" s="126"/>
      <c r="AS2" s="126"/>
      <c r="AT2" s="126"/>
      <c r="AU2" s="126"/>
      <c r="AV2" s="126"/>
      <c r="AW2" s="127"/>
      <c r="AX2" s="128" t="s">
        <v>3</v>
      </c>
      <c r="AY2" s="126"/>
      <c r="AZ2" s="126"/>
      <c r="BA2" s="126"/>
      <c r="BB2" s="126"/>
      <c r="BC2" s="126"/>
      <c r="BD2" s="126"/>
      <c r="BE2" s="129"/>
      <c r="BF2" s="130" t="s">
        <v>4</v>
      </c>
      <c r="BG2" s="126"/>
      <c r="BH2" s="126"/>
      <c r="BI2" s="126"/>
      <c r="BJ2" s="126"/>
      <c r="BK2" s="126"/>
      <c r="BL2" s="126"/>
      <c r="BM2" s="127"/>
      <c r="BN2" s="131" t="s">
        <v>5</v>
      </c>
      <c r="BO2" s="126"/>
      <c r="BP2" s="126"/>
      <c r="BQ2" s="126"/>
      <c r="BR2" s="126"/>
      <c r="BS2" s="126"/>
      <c r="BT2" s="126"/>
      <c r="BU2" s="129"/>
      <c r="BV2" s="132" t="s">
        <v>6</v>
      </c>
      <c r="BW2" s="126"/>
      <c r="BX2" s="126"/>
      <c r="BY2" s="126"/>
      <c r="BZ2" s="126"/>
      <c r="CA2" s="126"/>
      <c r="CB2" s="126"/>
      <c r="CC2" s="133"/>
      <c r="CH2" s="7"/>
      <c r="CI2" s="7"/>
      <c r="CJ2" s="7"/>
    </row>
    <row r="3" spans="1:88" ht="57" x14ac:dyDescent="0.45">
      <c r="A3" s="8"/>
      <c r="B3" s="9" t="s">
        <v>7</v>
      </c>
      <c r="C3" s="9" t="s">
        <v>8</v>
      </c>
      <c r="D3" s="9" t="s">
        <v>9</v>
      </c>
      <c r="E3" s="10" t="s">
        <v>10</v>
      </c>
      <c r="F3" s="10" t="s">
        <v>11</v>
      </c>
      <c r="G3" s="10" t="s">
        <v>12</v>
      </c>
      <c r="H3" s="9" t="s">
        <v>13</v>
      </c>
      <c r="I3" s="11" t="s">
        <v>14</v>
      </c>
      <c r="J3" s="12" t="s">
        <v>7</v>
      </c>
      <c r="K3" s="12" t="s">
        <v>8</v>
      </c>
      <c r="L3" s="12" t="s">
        <v>9</v>
      </c>
      <c r="M3" s="13" t="s">
        <v>10</v>
      </c>
      <c r="N3" s="13" t="s">
        <v>11</v>
      </c>
      <c r="O3" s="13" t="s">
        <v>12</v>
      </c>
      <c r="P3" s="12" t="s">
        <v>13</v>
      </c>
      <c r="Q3" s="12" t="s">
        <v>14</v>
      </c>
      <c r="R3" s="14" t="s">
        <v>7</v>
      </c>
      <c r="S3" s="15" t="s">
        <v>8</v>
      </c>
      <c r="T3" s="15" t="s">
        <v>9</v>
      </c>
      <c r="U3" s="16" t="s">
        <v>10</v>
      </c>
      <c r="V3" s="16" t="s">
        <v>11</v>
      </c>
      <c r="W3" s="16" t="s">
        <v>12</v>
      </c>
      <c r="X3" s="15" t="s">
        <v>13</v>
      </c>
      <c r="Y3" s="17" t="s">
        <v>14</v>
      </c>
      <c r="Z3" s="18" t="s">
        <v>7</v>
      </c>
      <c r="AA3" s="18" t="s">
        <v>8</v>
      </c>
      <c r="AB3" s="18" t="s">
        <v>9</v>
      </c>
      <c r="AC3" s="19" t="s">
        <v>10</v>
      </c>
      <c r="AD3" s="19" t="s">
        <v>11</v>
      </c>
      <c r="AE3" s="19" t="s">
        <v>12</v>
      </c>
      <c r="AF3" s="18" t="s">
        <v>13</v>
      </c>
      <c r="AG3" s="18" t="s">
        <v>14</v>
      </c>
      <c r="AH3" s="20" t="s">
        <v>7</v>
      </c>
      <c r="AI3" s="21" t="s">
        <v>8</v>
      </c>
      <c r="AJ3" s="21" t="s">
        <v>9</v>
      </c>
      <c r="AK3" s="22" t="s">
        <v>10</v>
      </c>
      <c r="AL3" s="22" t="s">
        <v>11</v>
      </c>
      <c r="AM3" s="22" t="s">
        <v>12</v>
      </c>
      <c r="AN3" s="21" t="s">
        <v>13</v>
      </c>
      <c r="AO3" s="23" t="s">
        <v>14</v>
      </c>
      <c r="AP3" s="9" t="s">
        <v>7</v>
      </c>
      <c r="AQ3" s="9" t="s">
        <v>8</v>
      </c>
      <c r="AR3" s="9" t="s">
        <v>9</v>
      </c>
      <c r="AS3" s="9" t="s">
        <v>15</v>
      </c>
      <c r="AT3" s="9" t="s">
        <v>16</v>
      </c>
      <c r="AU3" s="9" t="s">
        <v>13</v>
      </c>
      <c r="AV3" s="9" t="s">
        <v>17</v>
      </c>
      <c r="AW3" s="11" t="s">
        <v>14</v>
      </c>
      <c r="AX3" s="12" t="s">
        <v>7</v>
      </c>
      <c r="AY3" s="12" t="s">
        <v>8</v>
      </c>
      <c r="AZ3" s="12" t="s">
        <v>9</v>
      </c>
      <c r="BA3" s="12" t="s">
        <v>15</v>
      </c>
      <c r="BB3" s="12" t="s">
        <v>16</v>
      </c>
      <c r="BC3" s="12" t="s">
        <v>13</v>
      </c>
      <c r="BD3" s="12" t="s">
        <v>17</v>
      </c>
      <c r="BE3" s="12" t="s">
        <v>14</v>
      </c>
      <c r="BF3" s="14" t="s">
        <v>7</v>
      </c>
      <c r="BG3" s="15" t="s">
        <v>8</v>
      </c>
      <c r="BH3" s="15" t="s">
        <v>9</v>
      </c>
      <c r="BI3" s="15" t="s">
        <v>15</v>
      </c>
      <c r="BJ3" s="15" t="s">
        <v>16</v>
      </c>
      <c r="BK3" s="15" t="s">
        <v>13</v>
      </c>
      <c r="BL3" s="15" t="s">
        <v>17</v>
      </c>
      <c r="BM3" s="17" t="s">
        <v>14</v>
      </c>
      <c r="BN3" s="18" t="s">
        <v>7</v>
      </c>
      <c r="BO3" s="18" t="s">
        <v>8</v>
      </c>
      <c r="BP3" s="18" t="s">
        <v>9</v>
      </c>
      <c r="BQ3" s="18" t="s">
        <v>15</v>
      </c>
      <c r="BR3" s="18" t="s">
        <v>16</v>
      </c>
      <c r="BS3" s="18" t="s">
        <v>13</v>
      </c>
      <c r="BT3" s="18" t="s">
        <v>17</v>
      </c>
      <c r="BU3" s="18" t="s">
        <v>14</v>
      </c>
      <c r="BV3" s="20" t="s">
        <v>7</v>
      </c>
      <c r="BW3" s="21" t="s">
        <v>8</v>
      </c>
      <c r="BX3" s="21" t="s">
        <v>9</v>
      </c>
      <c r="BY3" s="21" t="s">
        <v>15</v>
      </c>
      <c r="BZ3" s="21" t="s">
        <v>16</v>
      </c>
      <c r="CA3" s="21" t="s">
        <v>13</v>
      </c>
      <c r="CB3" s="21" t="s">
        <v>17</v>
      </c>
      <c r="CC3" s="24" t="s">
        <v>14</v>
      </c>
    </row>
    <row r="4" spans="1:88" ht="28.5" x14ac:dyDescent="0.45">
      <c r="A4" s="6">
        <v>1995</v>
      </c>
      <c r="B4" s="25" t="s">
        <v>18</v>
      </c>
      <c r="C4" s="25" t="s">
        <v>19</v>
      </c>
      <c r="D4" s="26" t="s">
        <v>19</v>
      </c>
      <c r="E4" s="27">
        <v>7.5</v>
      </c>
      <c r="F4" s="27">
        <v>11.9</v>
      </c>
      <c r="G4" s="27">
        <v>15</v>
      </c>
      <c r="H4" s="28" t="s">
        <v>20</v>
      </c>
      <c r="I4" s="29" t="s">
        <v>20</v>
      </c>
      <c r="J4" s="26" t="s">
        <v>18</v>
      </c>
      <c r="K4" s="26" t="s">
        <v>19</v>
      </c>
      <c r="L4" s="26" t="s">
        <v>19</v>
      </c>
      <c r="M4" s="27">
        <v>13.1</v>
      </c>
      <c r="N4" s="27">
        <v>14.3</v>
      </c>
      <c r="O4" s="27">
        <v>25</v>
      </c>
      <c r="P4" s="28" t="s">
        <v>20</v>
      </c>
      <c r="Q4" s="29" t="s">
        <v>20</v>
      </c>
      <c r="R4" s="30" t="s">
        <v>18</v>
      </c>
      <c r="S4" s="26" t="s">
        <v>19</v>
      </c>
      <c r="T4" s="26" t="s">
        <v>19</v>
      </c>
      <c r="U4" s="27">
        <v>6.1</v>
      </c>
      <c r="V4" s="27">
        <v>8.1999999999999993</v>
      </c>
      <c r="W4" s="27" t="s">
        <v>21</v>
      </c>
      <c r="X4" s="28" t="s">
        <v>20</v>
      </c>
      <c r="Y4" s="29" t="s">
        <v>20</v>
      </c>
      <c r="Z4" s="26" t="s">
        <v>18</v>
      </c>
      <c r="AA4" s="26" t="s">
        <v>19</v>
      </c>
      <c r="AB4" s="26" t="s">
        <v>19</v>
      </c>
      <c r="AC4" s="27">
        <v>9.4</v>
      </c>
      <c r="AD4" s="27">
        <v>11.1</v>
      </c>
      <c r="AE4" s="27" t="s">
        <v>21</v>
      </c>
      <c r="AF4" s="28" t="s">
        <v>20</v>
      </c>
      <c r="AG4" s="29" t="s">
        <v>20</v>
      </c>
      <c r="AH4" s="30" t="s">
        <v>18</v>
      </c>
      <c r="AI4" s="26" t="s">
        <v>19</v>
      </c>
      <c r="AJ4" s="26" t="s">
        <v>19</v>
      </c>
      <c r="AK4" s="27">
        <v>12.6</v>
      </c>
      <c r="AL4" s="27">
        <v>13.3</v>
      </c>
      <c r="AM4" s="27" t="s">
        <v>21</v>
      </c>
      <c r="AN4" s="28" t="s">
        <v>20</v>
      </c>
      <c r="AO4" s="29" t="s">
        <v>20</v>
      </c>
      <c r="AP4" s="31">
        <v>17106.520741686974</v>
      </c>
      <c r="AQ4" s="31">
        <v>19830.379174151389</v>
      </c>
      <c r="AR4" s="31">
        <v>0.99975000000000003</v>
      </c>
      <c r="AT4" s="31">
        <v>87658.566362825222</v>
      </c>
      <c r="AU4" s="31"/>
      <c r="AV4" s="31"/>
      <c r="AW4" s="31">
        <v>15979453701.6387</v>
      </c>
      <c r="AX4" s="32">
        <v>4902.2252711372812</v>
      </c>
      <c r="AY4" s="31">
        <v>5910.4457811206803</v>
      </c>
      <c r="AZ4" s="31">
        <v>4.8003416666666672</v>
      </c>
      <c r="BA4" s="31"/>
      <c r="BB4" s="31">
        <v>11241.851807478466</v>
      </c>
      <c r="BC4" s="31"/>
      <c r="BD4" s="33">
        <v>10.193206763074601</v>
      </c>
      <c r="BE4" s="31">
        <v>1005482847.42788</v>
      </c>
      <c r="BF4" s="31">
        <v>8424.4830449985875</v>
      </c>
      <c r="BG4" s="31">
        <v>9015.8598696992158</v>
      </c>
      <c r="BH4" s="31">
        <v>1</v>
      </c>
      <c r="BI4" s="31"/>
      <c r="BJ4" s="31">
        <v>25283.871046327055</v>
      </c>
      <c r="BK4" s="31"/>
      <c r="BL4" s="33">
        <v>22.886133032694499</v>
      </c>
      <c r="BM4" s="31">
        <v>1787782198.96368</v>
      </c>
      <c r="BN4" s="32">
        <v>3187.8352675275169</v>
      </c>
      <c r="BO4" s="31">
        <v>6525.3358408829572</v>
      </c>
      <c r="BP4" s="31">
        <v>7.5455916666666702</v>
      </c>
      <c r="BQ4" s="31"/>
      <c r="BR4" s="31">
        <v>2039.819288199913</v>
      </c>
      <c r="BS4" s="31"/>
      <c r="BT4" s="33"/>
      <c r="BU4" s="31">
        <v>142003674.45683801</v>
      </c>
      <c r="BV4" s="32">
        <v>586.20799399667158</v>
      </c>
      <c r="BW4" s="31">
        <v>708.6611105390499</v>
      </c>
      <c r="BX4" s="31">
        <v>0.17684166666666701</v>
      </c>
      <c r="BY4" s="31"/>
      <c r="BZ4" s="31">
        <v>3743.1464087225322</v>
      </c>
      <c r="CA4" s="31"/>
      <c r="CB4" s="33"/>
      <c r="CC4" s="34">
        <v>10715241770.5819</v>
      </c>
    </row>
    <row r="5" spans="1:88" ht="14.25" x14ac:dyDescent="0.45">
      <c r="A5" s="6">
        <v>1996</v>
      </c>
      <c r="B5" s="35"/>
      <c r="C5" s="35"/>
      <c r="D5" s="35"/>
      <c r="E5" s="27">
        <v>7.5</v>
      </c>
      <c r="F5" s="27">
        <v>11.1</v>
      </c>
      <c r="G5" s="27">
        <v>15</v>
      </c>
      <c r="H5" s="36"/>
      <c r="I5" s="37"/>
      <c r="J5" s="35"/>
      <c r="K5" s="35"/>
      <c r="L5" s="35"/>
      <c r="M5" s="27">
        <v>13</v>
      </c>
      <c r="N5" s="27">
        <v>15.3</v>
      </c>
      <c r="O5" s="27">
        <v>26</v>
      </c>
      <c r="P5" s="36"/>
      <c r="Q5" s="36"/>
      <c r="R5" s="38"/>
      <c r="S5" s="35"/>
      <c r="T5" s="35"/>
      <c r="U5" s="27">
        <v>5.5</v>
      </c>
      <c r="V5" s="27">
        <v>7.3</v>
      </c>
      <c r="W5" s="27" t="s">
        <v>21</v>
      </c>
      <c r="X5" s="36"/>
      <c r="Y5" s="39"/>
      <c r="Z5" s="35"/>
      <c r="AA5" s="35"/>
      <c r="AB5" s="35"/>
      <c r="AC5" s="27">
        <v>9.5</v>
      </c>
      <c r="AD5" s="27">
        <v>11.2</v>
      </c>
      <c r="AE5" s="27" t="s">
        <v>21</v>
      </c>
      <c r="AF5" s="36"/>
      <c r="AG5" s="35"/>
      <c r="AH5" s="38"/>
      <c r="AI5" s="35"/>
      <c r="AJ5" s="35"/>
      <c r="AK5" s="27">
        <v>13.8</v>
      </c>
      <c r="AL5" s="27">
        <v>14.2</v>
      </c>
      <c r="AM5" s="27" t="s">
        <v>21</v>
      </c>
      <c r="AN5" s="36"/>
      <c r="AO5" s="40"/>
      <c r="AP5" s="31">
        <v>17837.753324639863</v>
      </c>
      <c r="AQ5" s="31">
        <v>19009.440764980103</v>
      </c>
      <c r="AR5" s="31">
        <v>0.9996624999999999</v>
      </c>
      <c r="AS5" s="31"/>
      <c r="AT5" s="31">
        <v>130057.96385864541</v>
      </c>
      <c r="AU5" s="31"/>
      <c r="AV5" s="31"/>
      <c r="AW5" s="31">
        <v>19719017351.062401</v>
      </c>
      <c r="AX5" s="41">
        <v>5012.9296203292679</v>
      </c>
      <c r="AY5" s="31">
        <v>6223.9359108213948</v>
      </c>
      <c r="AZ5" s="31">
        <v>5.0746124999999997</v>
      </c>
      <c r="BA5" s="31"/>
      <c r="BB5" s="31">
        <v>11658.310573151568</v>
      </c>
      <c r="BC5" s="31"/>
      <c r="BD5" s="33">
        <v>12.4254866180049</v>
      </c>
      <c r="BE5" s="31">
        <v>1301661210.8099699</v>
      </c>
      <c r="BF5" s="31">
        <v>8388.7826338820578</v>
      </c>
      <c r="BG5" s="31">
        <v>8956.8404970338834</v>
      </c>
      <c r="BH5" s="31">
        <v>1</v>
      </c>
      <c r="BI5" s="31"/>
      <c r="BJ5" s="31">
        <v>23824.609246422304</v>
      </c>
      <c r="BK5" s="31"/>
      <c r="BL5" s="33">
        <v>24.373088685015599</v>
      </c>
      <c r="BM5" s="31">
        <v>2011360128.31461</v>
      </c>
      <c r="BN5" s="41">
        <v>3326.2063382433025</v>
      </c>
      <c r="BO5" s="31">
        <v>6597.7506428023553</v>
      </c>
      <c r="BP5" s="31">
        <v>8.4354999999999993</v>
      </c>
      <c r="BQ5" s="31"/>
      <c r="BR5" s="31">
        <v>2012.3916797165002</v>
      </c>
      <c r="BS5" s="31"/>
      <c r="BT5" s="33"/>
      <c r="BU5" s="31">
        <v>202863225.43397501</v>
      </c>
      <c r="BV5" s="41">
        <v>573.16822000087109</v>
      </c>
      <c r="BW5" s="31">
        <v>693.50128183178151</v>
      </c>
      <c r="BX5" s="31">
        <v>0.41735</v>
      </c>
      <c r="BY5" s="31"/>
      <c r="BZ5" s="31">
        <v>3396.8647363718192</v>
      </c>
      <c r="CA5" s="31"/>
      <c r="CB5" s="33"/>
      <c r="CC5" s="34">
        <v>16019843786.826</v>
      </c>
    </row>
    <row r="6" spans="1:88" ht="14.25" x14ac:dyDescent="0.45">
      <c r="A6" s="6">
        <v>1997</v>
      </c>
      <c r="B6" s="35"/>
      <c r="C6" s="35"/>
      <c r="D6" s="35"/>
      <c r="E6" s="27">
        <v>8.1</v>
      </c>
      <c r="F6" s="27">
        <v>11.6</v>
      </c>
      <c r="G6" s="27">
        <v>14</v>
      </c>
      <c r="H6" s="36"/>
      <c r="I6" s="37"/>
      <c r="J6" s="35"/>
      <c r="K6" s="35"/>
      <c r="L6" s="35"/>
      <c r="M6" s="27">
        <v>13.6</v>
      </c>
      <c r="N6" s="27">
        <v>16.100000000000001</v>
      </c>
      <c r="O6" s="27">
        <v>27</v>
      </c>
      <c r="P6" s="36"/>
      <c r="Q6" s="36"/>
      <c r="R6" s="38"/>
      <c r="S6" s="35"/>
      <c r="T6" s="35"/>
      <c r="U6" s="27">
        <v>6.3</v>
      </c>
      <c r="V6" s="27">
        <v>7.9</v>
      </c>
      <c r="W6" s="27" t="s">
        <v>21</v>
      </c>
      <c r="X6" s="36"/>
      <c r="Y6" s="39"/>
      <c r="Z6" s="35"/>
      <c r="AA6" s="35"/>
      <c r="AB6" s="35"/>
      <c r="AC6" s="27">
        <v>10.6</v>
      </c>
      <c r="AD6" s="27">
        <v>12.3</v>
      </c>
      <c r="AE6" s="27" t="s">
        <v>21</v>
      </c>
      <c r="AF6" s="36"/>
      <c r="AG6" s="35"/>
      <c r="AH6" s="38"/>
      <c r="AI6" s="35"/>
      <c r="AJ6" s="35"/>
      <c r="AK6" s="27">
        <v>17.3</v>
      </c>
      <c r="AL6" s="27">
        <v>17.600000000000001</v>
      </c>
      <c r="AM6" s="27">
        <v>23</v>
      </c>
      <c r="AN6" s="36"/>
      <c r="AO6" s="40"/>
      <c r="AP6" s="31">
        <v>19062.272408927744</v>
      </c>
      <c r="AQ6" s="31">
        <v>19006.541241739633</v>
      </c>
      <c r="AR6" s="31">
        <v>0.99949999999999994</v>
      </c>
      <c r="AS6" s="31"/>
      <c r="AT6" s="31">
        <v>120479.31959792413</v>
      </c>
      <c r="AU6" s="31"/>
      <c r="AV6" s="31"/>
      <c r="AW6" s="31">
        <v>22424600096.7817</v>
      </c>
      <c r="AX6" s="41">
        <v>5156.4249221854152</v>
      </c>
      <c r="AY6" s="31">
        <v>6412.4891700495082</v>
      </c>
      <c r="AZ6" s="31">
        <v>5.2542583333333335</v>
      </c>
      <c r="BA6" s="31"/>
      <c r="BB6" s="31">
        <v>11408.974187169224</v>
      </c>
      <c r="BC6" s="31"/>
      <c r="BD6" s="33">
        <v>4.7084443602819297</v>
      </c>
      <c r="BE6" s="31">
        <v>1359051283.4400699</v>
      </c>
      <c r="BF6" s="31">
        <v>8570.0275947642185</v>
      </c>
      <c r="BG6" s="31">
        <v>9053.5285160558215</v>
      </c>
      <c r="BH6" s="31">
        <v>1</v>
      </c>
      <c r="BI6" s="31"/>
      <c r="BJ6" s="31">
        <v>23468.321135975188</v>
      </c>
      <c r="BK6" s="31"/>
      <c r="BL6" s="33">
        <v>30.642980083598701</v>
      </c>
      <c r="BM6" s="31">
        <v>2212962682.5571699</v>
      </c>
      <c r="BN6" s="41">
        <v>3396.4825629326501</v>
      </c>
      <c r="BO6" s="31">
        <v>6468.3929176739694</v>
      </c>
      <c r="BP6" s="31">
        <v>9.4480833333333294</v>
      </c>
      <c r="BQ6" s="31"/>
      <c r="BR6" s="31">
        <v>2029.6937053688162</v>
      </c>
      <c r="BS6" s="31"/>
      <c r="BT6" s="33"/>
      <c r="BU6" s="31">
        <v>382292004.29489899</v>
      </c>
      <c r="BV6" s="41">
        <v>597.61508339506224</v>
      </c>
      <c r="BW6" s="31">
        <v>696.04941471599807</v>
      </c>
      <c r="BX6" s="31">
        <v>0.48863333333333298</v>
      </c>
      <c r="BY6" s="31"/>
      <c r="BZ6" s="31">
        <v>3356.0166807349306</v>
      </c>
      <c r="CA6" s="31"/>
      <c r="CB6" s="33"/>
      <c r="CC6" s="34">
        <v>17703782561.633801</v>
      </c>
    </row>
    <row r="7" spans="1:88" ht="14.25" x14ac:dyDescent="0.45">
      <c r="A7" s="6">
        <v>1998</v>
      </c>
      <c r="B7" s="35"/>
      <c r="C7" s="35"/>
      <c r="D7" s="35"/>
      <c r="E7" s="27">
        <v>8.3000000000000007</v>
      </c>
      <c r="F7" s="27">
        <v>11.6</v>
      </c>
      <c r="G7" s="27">
        <v>14</v>
      </c>
      <c r="H7" s="36"/>
      <c r="I7" s="37"/>
      <c r="J7" s="35"/>
      <c r="K7" s="35"/>
      <c r="L7" s="35"/>
      <c r="M7" s="27">
        <v>14.7</v>
      </c>
      <c r="N7" s="27">
        <v>16.3</v>
      </c>
      <c r="O7" s="27">
        <v>29</v>
      </c>
      <c r="P7" s="36"/>
      <c r="Q7" s="36"/>
      <c r="R7" s="38"/>
      <c r="S7" s="35"/>
      <c r="T7" s="35"/>
      <c r="U7" s="27">
        <v>7.3</v>
      </c>
      <c r="V7" s="27">
        <v>8.9</v>
      </c>
      <c r="W7" s="27" t="s">
        <v>21</v>
      </c>
      <c r="X7" s="36"/>
      <c r="Y7" s="39"/>
      <c r="Z7" s="35"/>
      <c r="AA7" s="35"/>
      <c r="AB7" s="35"/>
      <c r="AC7" s="27">
        <v>11</v>
      </c>
      <c r="AD7" s="27">
        <v>13.1</v>
      </c>
      <c r="AE7" s="27">
        <v>14</v>
      </c>
      <c r="AF7" s="36"/>
      <c r="AG7" s="35"/>
      <c r="AH7" s="38"/>
      <c r="AI7" s="35"/>
      <c r="AJ7" s="35"/>
      <c r="AK7" s="27">
        <v>12.2</v>
      </c>
      <c r="AL7" s="27">
        <v>12.9</v>
      </c>
      <c r="AM7" s="27">
        <v>22</v>
      </c>
      <c r="AN7" s="36"/>
      <c r="AO7" s="40"/>
      <c r="AP7" s="31">
        <v>19573.323512866584</v>
      </c>
      <c r="AQ7" s="31">
        <v>19539.697652873027</v>
      </c>
      <c r="AR7" s="31">
        <v>0.99949999999999994</v>
      </c>
      <c r="AS7" s="31"/>
      <c r="AT7" s="31">
        <v>112726.32212388143</v>
      </c>
      <c r="AU7" s="31"/>
      <c r="AV7" s="31"/>
      <c r="AW7" s="31">
        <v>24855741222.254101</v>
      </c>
      <c r="AX7" s="41">
        <v>5309.2049130819105</v>
      </c>
      <c r="AY7" s="31">
        <v>6299.6305589611438</v>
      </c>
      <c r="AZ7" s="31">
        <v>5.5101333333333331</v>
      </c>
      <c r="BA7" s="31"/>
      <c r="BB7" s="31">
        <v>11098.141472561401</v>
      </c>
      <c r="BC7" s="31"/>
      <c r="BD7" s="33">
        <v>7.6732289567508403</v>
      </c>
      <c r="BE7" s="31">
        <v>1218866920.23489</v>
      </c>
      <c r="BF7" s="31">
        <v>8670.7738162040114</v>
      </c>
      <c r="BG7" s="31">
        <v>9138.0293761784269</v>
      </c>
      <c r="BH7" s="31">
        <v>1</v>
      </c>
      <c r="BI7" s="31"/>
      <c r="BJ7" s="31">
        <v>21349.262825466692</v>
      </c>
      <c r="BK7" s="31"/>
      <c r="BL7" s="33">
        <v>36.0984331623782</v>
      </c>
      <c r="BM7" s="31">
        <v>1738909755.1591899</v>
      </c>
      <c r="BN7" s="41">
        <v>3463.0210292299571</v>
      </c>
      <c r="BO7" s="31">
        <v>6373.9393049292157</v>
      </c>
      <c r="BP7" s="31">
        <v>10.5819166666667</v>
      </c>
      <c r="BQ7" s="31"/>
      <c r="BR7" s="31">
        <v>2134.1942176589509</v>
      </c>
      <c r="BS7" s="31"/>
      <c r="BT7" s="33"/>
      <c r="BU7" s="31">
        <v>354722885.391702</v>
      </c>
      <c r="BV7" s="41">
        <v>587.76924836638716</v>
      </c>
      <c r="BW7" s="31">
        <v>745.74717459753447</v>
      </c>
      <c r="BX7" s="31">
        <v>0.54756666666666698</v>
      </c>
      <c r="BY7" s="31"/>
      <c r="BZ7" s="31">
        <v>3189.3717982720846</v>
      </c>
      <c r="CA7" s="31"/>
      <c r="CB7" s="33"/>
      <c r="CC7" s="34">
        <v>14728840876.6402</v>
      </c>
    </row>
    <row r="8" spans="1:88" ht="14.25" x14ac:dyDescent="0.45">
      <c r="A8" s="6">
        <v>1999</v>
      </c>
      <c r="B8" s="35"/>
      <c r="C8" s="35"/>
      <c r="D8" s="35"/>
      <c r="E8" s="27">
        <v>8.4</v>
      </c>
      <c r="F8" s="27">
        <v>11.5</v>
      </c>
      <c r="G8" s="27">
        <v>16</v>
      </c>
      <c r="H8" s="36"/>
      <c r="I8" s="37"/>
      <c r="J8" s="35"/>
      <c r="K8" s="35"/>
      <c r="L8" s="35"/>
      <c r="M8" s="27">
        <v>13.7</v>
      </c>
      <c r="N8" s="27">
        <v>15.7</v>
      </c>
      <c r="O8" s="27">
        <v>29</v>
      </c>
      <c r="P8" s="36"/>
      <c r="Q8" s="36"/>
      <c r="R8" s="38"/>
      <c r="S8" s="35"/>
      <c r="T8" s="35"/>
      <c r="U8" s="27">
        <v>8.4</v>
      </c>
      <c r="V8" s="27">
        <v>9.6</v>
      </c>
      <c r="W8" s="27" t="s">
        <v>21</v>
      </c>
      <c r="X8" s="36"/>
      <c r="Y8" s="39"/>
      <c r="Z8" s="35"/>
      <c r="AA8" s="35"/>
      <c r="AB8" s="35"/>
      <c r="AC8" s="27">
        <v>10.7</v>
      </c>
      <c r="AD8" s="27">
        <v>12.8</v>
      </c>
      <c r="AE8" s="27">
        <v>18</v>
      </c>
      <c r="AF8" s="36"/>
      <c r="AG8" s="35"/>
      <c r="AH8" s="42"/>
      <c r="AI8" s="43"/>
      <c r="AJ8" s="43"/>
      <c r="AK8" s="44">
        <v>13</v>
      </c>
      <c r="AL8" s="44">
        <v>13.8</v>
      </c>
      <c r="AM8" s="44">
        <v>22</v>
      </c>
      <c r="AN8" s="45"/>
      <c r="AO8" s="46"/>
      <c r="AP8" s="31">
        <v>18701.30146752626</v>
      </c>
      <c r="AQ8" s="31">
        <v>19835.144289362481</v>
      </c>
      <c r="AR8" s="31">
        <v>0.99949999999999994</v>
      </c>
      <c r="AS8" s="31"/>
      <c r="AT8" s="31">
        <v>105391.2953317631</v>
      </c>
      <c r="AU8" s="31"/>
      <c r="AV8" s="31"/>
      <c r="AW8" s="31">
        <v>26350163486.372299</v>
      </c>
      <c r="AX8" s="41">
        <v>5228.3548531342731</v>
      </c>
      <c r="AY8" s="31">
        <v>6464.6113928817749</v>
      </c>
      <c r="AZ8" s="31">
        <v>5.812408333333333</v>
      </c>
      <c r="BA8" s="31"/>
      <c r="BB8" s="31">
        <v>10588.415292053658</v>
      </c>
      <c r="BC8" s="31"/>
      <c r="BD8" s="33">
        <v>2.1595162683559601</v>
      </c>
      <c r="BE8" s="31">
        <v>1248580099.5968001</v>
      </c>
      <c r="BF8" s="31">
        <v>8098.0724288033025</v>
      </c>
      <c r="BG8" s="31">
        <v>9679.3381742566744</v>
      </c>
      <c r="BH8" s="31">
        <v>1</v>
      </c>
      <c r="BI8" s="31"/>
      <c r="BJ8" s="31">
        <v>19422.010053716367</v>
      </c>
      <c r="BK8" s="31"/>
      <c r="BL8" s="33">
        <v>52.242350907518897</v>
      </c>
      <c r="BM8" s="31">
        <v>1887630504.4925799</v>
      </c>
      <c r="BN8" s="41">
        <v>3646.9724840664471</v>
      </c>
      <c r="BO8" s="31">
        <v>6369.9942035877239</v>
      </c>
      <c r="BP8" s="31">
        <v>11.80925</v>
      </c>
      <c r="BQ8" s="31"/>
      <c r="BR8" s="31">
        <v>2445.5802916960674</v>
      </c>
      <c r="BS8" s="31"/>
      <c r="BT8" s="33"/>
      <c r="BU8" s="31">
        <v>514067507.78729099</v>
      </c>
      <c r="BV8" s="47">
        <v>542.17027539537867</v>
      </c>
      <c r="BW8" s="48">
        <v>681.89327783187468</v>
      </c>
      <c r="BX8" s="48">
        <v>0.60572499999999996</v>
      </c>
      <c r="BY8" s="48"/>
      <c r="BZ8" s="48">
        <v>2464.161399519071</v>
      </c>
      <c r="CA8" s="48"/>
      <c r="CB8" s="49"/>
      <c r="CC8" s="50">
        <v>15110150345.584801</v>
      </c>
    </row>
    <row r="9" spans="1:88" ht="14.25" x14ac:dyDescent="0.45">
      <c r="A9" s="6">
        <v>2000</v>
      </c>
      <c r="B9" s="35"/>
      <c r="C9" s="35"/>
      <c r="D9" s="35"/>
      <c r="E9" s="27">
        <v>8.9</v>
      </c>
      <c r="F9" s="27">
        <v>11.9</v>
      </c>
      <c r="G9" s="27">
        <v>16</v>
      </c>
      <c r="H9" s="36"/>
      <c r="I9" s="37"/>
      <c r="J9" s="35"/>
      <c r="K9" s="35"/>
      <c r="L9" s="35"/>
      <c r="M9" s="27">
        <v>15.2</v>
      </c>
      <c r="N9" s="27">
        <v>16.5</v>
      </c>
      <c r="O9" s="27">
        <v>29</v>
      </c>
      <c r="P9" s="36"/>
      <c r="Q9" s="36"/>
      <c r="R9" s="38"/>
      <c r="S9" s="35"/>
      <c r="T9" s="35"/>
      <c r="U9" s="27">
        <v>10.199999999999999</v>
      </c>
      <c r="V9" s="27">
        <v>11.4</v>
      </c>
      <c r="W9" s="27">
        <v>17</v>
      </c>
      <c r="X9" s="36"/>
      <c r="Y9" s="39"/>
      <c r="Z9" s="35"/>
      <c r="AA9" s="35"/>
      <c r="AB9" s="35"/>
      <c r="AC9" s="27">
        <v>10.6</v>
      </c>
      <c r="AD9" s="27">
        <v>13.2</v>
      </c>
      <c r="AE9" s="27">
        <v>17</v>
      </c>
      <c r="AF9" s="36"/>
      <c r="AG9" s="35"/>
      <c r="AH9" s="51"/>
      <c r="AI9" s="52"/>
      <c r="AJ9" s="52"/>
      <c r="AK9" s="53">
        <v>12.9</v>
      </c>
      <c r="AL9" s="53">
        <v>13.6</v>
      </c>
      <c r="AM9" s="53">
        <v>27</v>
      </c>
      <c r="AN9" s="54"/>
      <c r="AO9" s="55"/>
      <c r="AP9" s="31">
        <v>18350.671156002176</v>
      </c>
      <c r="AQ9" s="31">
        <v>19459.986834064715</v>
      </c>
      <c r="AR9" s="31">
        <v>0.99949999999999994</v>
      </c>
      <c r="AS9" s="31"/>
      <c r="AT9" s="31">
        <v>95760.692601302639</v>
      </c>
      <c r="AU9" s="31"/>
      <c r="AV9" s="31"/>
      <c r="AW9" s="31">
        <v>25152117244.413399</v>
      </c>
      <c r="AX9" s="41">
        <v>5256.8457849504366</v>
      </c>
      <c r="AY9" s="31">
        <v>6751.2913644379259</v>
      </c>
      <c r="AZ9" s="31">
        <v>6.1835416666666667</v>
      </c>
      <c r="BA9" s="31"/>
      <c r="BB9" s="31">
        <v>10215.254594071303</v>
      </c>
      <c r="BC9" s="31"/>
      <c r="BD9" s="33">
        <v>4.6082299887259799</v>
      </c>
      <c r="BE9" s="31">
        <v>1184108227.67537</v>
      </c>
      <c r="BF9" s="31">
        <v>8032.1917023831411</v>
      </c>
      <c r="BG9" s="31">
        <v>9560.5921868363203</v>
      </c>
      <c r="BH9" s="31">
        <v>1</v>
      </c>
      <c r="BI9" s="31"/>
      <c r="BJ9" s="31">
        <v>18035.476060545538</v>
      </c>
      <c r="BK9" s="31"/>
      <c r="BL9" s="33">
        <v>96.0941136930836</v>
      </c>
      <c r="BM9" s="31">
        <v>1178958455.54319</v>
      </c>
      <c r="BN9" s="41">
        <v>3737.9437297284717</v>
      </c>
      <c r="BO9" s="31">
        <v>6254.9640776096012</v>
      </c>
      <c r="BP9" s="31">
        <v>12.6843916666667</v>
      </c>
      <c r="BQ9" s="31"/>
      <c r="BR9" s="31">
        <v>2611.8386110281572</v>
      </c>
      <c r="BS9" s="31"/>
      <c r="BT9" s="33">
        <v>7.0699135225251402</v>
      </c>
      <c r="BU9" s="31">
        <v>492485081.97107297</v>
      </c>
      <c r="BV9" s="56">
        <v>551.64301079766801</v>
      </c>
      <c r="BW9" s="57">
        <v>620.09122613804743</v>
      </c>
      <c r="BX9" s="57">
        <v>0.67996666666666705</v>
      </c>
      <c r="BY9" s="57"/>
      <c r="BZ9" s="57">
        <v>2028.443877430167</v>
      </c>
      <c r="CA9" s="57"/>
      <c r="CB9" s="58"/>
      <c r="CC9" s="59">
        <v>15898851162.5221</v>
      </c>
    </row>
    <row r="10" spans="1:88" ht="14.25" x14ac:dyDescent="0.45">
      <c r="A10" s="6">
        <v>2001</v>
      </c>
      <c r="B10" s="35"/>
      <c r="C10" s="35"/>
      <c r="D10" s="35"/>
      <c r="E10" s="27">
        <v>8.6</v>
      </c>
      <c r="F10" s="27">
        <v>11.5</v>
      </c>
      <c r="G10" s="27">
        <v>16</v>
      </c>
      <c r="H10" s="36"/>
      <c r="I10" s="37"/>
      <c r="J10" s="35"/>
      <c r="K10" s="35"/>
      <c r="L10" s="35"/>
      <c r="M10" s="27">
        <v>14.4</v>
      </c>
      <c r="N10" s="27">
        <v>15.6</v>
      </c>
      <c r="O10" s="27">
        <v>32</v>
      </c>
      <c r="P10" s="36"/>
      <c r="Q10" s="36"/>
      <c r="R10" s="38"/>
      <c r="S10" s="35"/>
      <c r="T10" s="35"/>
      <c r="U10" s="27">
        <v>10.9</v>
      </c>
      <c r="V10" s="27">
        <v>12.8</v>
      </c>
      <c r="W10" s="27">
        <v>18</v>
      </c>
      <c r="X10" s="36"/>
      <c r="Y10" s="39"/>
      <c r="Z10" s="35"/>
      <c r="AA10" s="35"/>
      <c r="AB10" s="35"/>
      <c r="AC10" s="27">
        <v>9.8000000000000007</v>
      </c>
      <c r="AD10" s="27">
        <v>12.7</v>
      </c>
      <c r="AE10" s="27">
        <v>16</v>
      </c>
      <c r="AF10" s="36"/>
      <c r="AG10" s="35"/>
      <c r="AH10" s="51"/>
      <c r="AI10" s="52"/>
      <c r="AJ10" s="52"/>
      <c r="AK10" s="53">
        <v>11.4</v>
      </c>
      <c r="AL10" s="53">
        <v>12.2</v>
      </c>
      <c r="AM10" s="53">
        <v>29</v>
      </c>
      <c r="AN10" s="54"/>
      <c r="AO10" s="55"/>
      <c r="AP10" s="31">
        <v>17351.093214948996</v>
      </c>
      <c r="AQ10" s="31">
        <v>19145.558280302757</v>
      </c>
      <c r="AR10" s="31">
        <v>0.99949999999999994</v>
      </c>
      <c r="AS10" s="31"/>
      <c r="AT10" s="31">
        <v>87268.168737832457</v>
      </c>
      <c r="AU10" s="31"/>
      <c r="AV10" s="31"/>
      <c r="AW10" s="31">
        <v>14555552759.610201</v>
      </c>
      <c r="AX10" s="41">
        <v>5244.4549887036892</v>
      </c>
      <c r="AY10" s="31">
        <v>6767.412408792914</v>
      </c>
      <c r="AZ10" s="31">
        <v>6.6069166666666659</v>
      </c>
      <c r="BA10" s="31"/>
      <c r="BB10" s="31">
        <v>9604.9075084403157</v>
      </c>
      <c r="BC10" s="31"/>
      <c r="BD10" s="33">
        <v>1.5896537787956799</v>
      </c>
      <c r="BE10" s="31">
        <v>1146023735.3006201</v>
      </c>
      <c r="BF10" s="31">
        <v>8203.6510794277547</v>
      </c>
      <c r="BG10" s="31">
        <v>9902.3930829926703</v>
      </c>
      <c r="BH10" s="31">
        <v>1</v>
      </c>
      <c r="BI10" s="31"/>
      <c r="BJ10" s="31">
        <v>16021.194820855744</v>
      </c>
      <c r="BK10" s="31"/>
      <c r="BL10" s="33">
        <v>37.6780209421416</v>
      </c>
      <c r="BM10" s="31">
        <v>1073533298.2322201</v>
      </c>
      <c r="BN10" s="41">
        <v>3791.7241637912639</v>
      </c>
      <c r="BO10" s="31">
        <v>6248.6626962746795</v>
      </c>
      <c r="BP10" s="31">
        <v>13.3719416666667</v>
      </c>
      <c r="BQ10" s="31"/>
      <c r="BR10" s="31">
        <v>2675.032201506081</v>
      </c>
      <c r="BS10" s="31"/>
      <c r="BT10" s="33">
        <v>5.9860418627951697</v>
      </c>
      <c r="BU10" s="31">
        <v>384021946.51415002</v>
      </c>
      <c r="BV10" s="56">
        <v>559.86021453952924</v>
      </c>
      <c r="BW10" s="57">
        <v>653.68611749721254</v>
      </c>
      <c r="BX10" s="57">
        <v>0.72365833333333296</v>
      </c>
      <c r="BY10" s="57"/>
      <c r="BZ10" s="57">
        <v>2186.7945460695773</v>
      </c>
      <c r="CA10" s="57"/>
      <c r="CB10" s="58"/>
      <c r="CC10" s="59">
        <v>12264400222.6423</v>
      </c>
    </row>
    <row r="11" spans="1:88" ht="14.25" x14ac:dyDescent="0.45">
      <c r="A11" s="6">
        <v>2002</v>
      </c>
      <c r="B11" s="35"/>
      <c r="C11" s="35"/>
      <c r="D11" s="35"/>
      <c r="E11" s="27">
        <v>8.3000000000000007</v>
      </c>
      <c r="F11" s="27">
        <v>10.8</v>
      </c>
      <c r="G11" s="27">
        <v>13</v>
      </c>
      <c r="H11" s="36"/>
      <c r="I11" s="37"/>
      <c r="J11" s="35"/>
      <c r="K11" s="35"/>
      <c r="L11" s="35"/>
      <c r="M11" s="27">
        <v>14.6</v>
      </c>
      <c r="N11" s="27">
        <v>15.9</v>
      </c>
      <c r="O11" s="27">
        <v>33</v>
      </c>
      <c r="P11" s="36"/>
      <c r="Q11" s="36"/>
      <c r="R11" s="38"/>
      <c r="S11" s="35"/>
      <c r="T11" s="35"/>
      <c r="U11" s="27">
        <v>10.8</v>
      </c>
      <c r="V11" s="27">
        <v>13.5</v>
      </c>
      <c r="W11" s="27">
        <v>15</v>
      </c>
      <c r="X11" s="36"/>
      <c r="Y11" s="39"/>
      <c r="Z11" s="35"/>
      <c r="AA11" s="35"/>
      <c r="AB11" s="35"/>
      <c r="AC11" s="27">
        <v>10.4</v>
      </c>
      <c r="AD11" s="27">
        <v>13.4</v>
      </c>
      <c r="AE11" s="27">
        <v>16</v>
      </c>
      <c r="AF11" s="36"/>
      <c r="AG11" s="35"/>
      <c r="AH11" s="51"/>
      <c r="AI11" s="52"/>
      <c r="AJ11" s="52"/>
      <c r="AK11" s="53">
        <v>10.6</v>
      </c>
      <c r="AL11" s="53">
        <v>11.2</v>
      </c>
      <c r="AM11" s="53">
        <v>24</v>
      </c>
      <c r="AN11" s="54"/>
      <c r="AO11" s="55"/>
      <c r="AP11" s="31">
        <v>15294.158055136986</v>
      </c>
      <c r="AQ11" s="31">
        <v>13644.503114748626</v>
      </c>
      <c r="AR11" s="31">
        <v>3.0632566666666667</v>
      </c>
      <c r="AS11" s="31"/>
      <c r="AT11" s="31">
        <v>78876.035146294162</v>
      </c>
      <c r="AU11" s="31"/>
      <c r="AV11" s="31"/>
      <c r="AW11" s="31">
        <v>10492424818.737499</v>
      </c>
      <c r="AX11" s="41">
        <v>5274.8605883643413</v>
      </c>
      <c r="AY11" s="31">
        <v>6714.9260620348668</v>
      </c>
      <c r="AZ11" s="31">
        <v>7.17</v>
      </c>
      <c r="BA11" s="31"/>
      <c r="BB11" s="31">
        <v>9063.5016272496432</v>
      </c>
      <c r="BC11" s="31"/>
      <c r="BD11" s="33">
        <v>0.92825885161106103</v>
      </c>
      <c r="BE11" s="31">
        <v>892729137.78994799</v>
      </c>
      <c r="BF11" s="31">
        <v>8391.078879313789</v>
      </c>
      <c r="BG11" s="31">
        <v>10485.908468303285</v>
      </c>
      <c r="BH11" s="31">
        <v>1</v>
      </c>
      <c r="BI11" s="31"/>
      <c r="BJ11" s="31">
        <v>14546.124282568926</v>
      </c>
      <c r="BK11" s="31"/>
      <c r="BL11" s="33">
        <v>12.4840185721018</v>
      </c>
      <c r="BM11" s="31">
        <v>1004402765.69838</v>
      </c>
      <c r="BN11" s="41">
        <v>3766.1749450791367</v>
      </c>
      <c r="BO11" s="31">
        <v>6124.1123271463684</v>
      </c>
      <c r="BP11" s="31">
        <v>14.251325250000001</v>
      </c>
      <c r="BQ11" s="31"/>
      <c r="BR11" s="31">
        <v>2741.8992930105887</v>
      </c>
      <c r="BS11" s="31"/>
      <c r="BT11" s="33">
        <v>3.7501746577846902</v>
      </c>
      <c r="BU11" s="31">
        <v>453205838.918311</v>
      </c>
      <c r="BV11" s="56">
        <v>501.0522622157178</v>
      </c>
      <c r="BW11" s="57">
        <v>530.59430767423078</v>
      </c>
      <c r="BX11" s="57">
        <v>1.1609499999999999</v>
      </c>
      <c r="BY11" s="57"/>
      <c r="BZ11" s="57">
        <v>1864.6030893322313</v>
      </c>
      <c r="CA11" s="57"/>
      <c r="CB11" s="58"/>
      <c r="CC11" s="59">
        <v>12106510810.7652</v>
      </c>
    </row>
    <row r="12" spans="1:88" ht="14.25" x14ac:dyDescent="0.45">
      <c r="A12" s="6">
        <v>2003</v>
      </c>
      <c r="B12" s="43"/>
      <c r="C12" s="43"/>
      <c r="D12" s="43"/>
      <c r="E12" s="44">
        <v>10.5</v>
      </c>
      <c r="F12" s="44">
        <v>12.6</v>
      </c>
      <c r="G12" s="44">
        <v>14</v>
      </c>
      <c r="H12" s="45"/>
      <c r="I12" s="60"/>
      <c r="J12" s="35"/>
      <c r="K12" s="35"/>
      <c r="L12" s="35"/>
      <c r="M12" s="27">
        <v>14.1</v>
      </c>
      <c r="N12" s="27">
        <v>15.4</v>
      </c>
      <c r="O12" s="27">
        <v>32</v>
      </c>
      <c r="P12" s="36"/>
      <c r="Q12" s="36"/>
      <c r="R12" s="38"/>
      <c r="S12" s="35"/>
      <c r="T12" s="35"/>
      <c r="U12" s="27">
        <v>10</v>
      </c>
      <c r="V12" s="27">
        <v>12.7</v>
      </c>
      <c r="W12" s="27">
        <v>15</v>
      </c>
      <c r="X12" s="36"/>
      <c r="Y12" s="39"/>
      <c r="Z12" s="35"/>
      <c r="AA12" s="35"/>
      <c r="AB12" s="35"/>
      <c r="AC12" s="27">
        <v>11.7</v>
      </c>
      <c r="AD12" s="27">
        <v>14.8</v>
      </c>
      <c r="AE12" s="27">
        <v>19</v>
      </c>
      <c r="AF12" s="36"/>
      <c r="AG12" s="35"/>
      <c r="AH12" s="51"/>
      <c r="AI12" s="52"/>
      <c r="AJ12" s="52"/>
      <c r="AK12" s="53">
        <v>11.3</v>
      </c>
      <c r="AL12" s="53">
        <v>11.9</v>
      </c>
      <c r="AM12" s="53">
        <v>27</v>
      </c>
      <c r="AN12" s="54"/>
      <c r="AO12" s="55"/>
      <c r="AP12" s="48">
        <v>16468.222899743298</v>
      </c>
      <c r="AQ12" s="48">
        <v>13826.707499988646</v>
      </c>
      <c r="AR12" s="48">
        <v>2.9006291666666666</v>
      </c>
      <c r="AS12" s="48"/>
      <c r="AT12" s="48">
        <v>76868.310237206519</v>
      </c>
      <c r="AU12" s="48"/>
      <c r="AV12" s="48"/>
      <c r="AW12" s="48">
        <v>14157284136.3645</v>
      </c>
      <c r="AX12" s="41">
        <v>5318.713332978884</v>
      </c>
      <c r="AY12" s="31">
        <v>6939.8427868161734</v>
      </c>
      <c r="AZ12" s="31">
        <v>7.6591666666666667</v>
      </c>
      <c r="BA12" s="31"/>
      <c r="BB12" s="31">
        <v>8884.3553450555191</v>
      </c>
      <c r="BC12" s="31"/>
      <c r="BD12" s="33">
        <v>3.3372749967153301</v>
      </c>
      <c r="BE12" s="31">
        <v>1096941369.79827</v>
      </c>
      <c r="BF12" s="31">
        <v>8473.7163733487087</v>
      </c>
      <c r="BG12" s="31">
        <v>10942.609654980417</v>
      </c>
      <c r="BH12" s="31">
        <v>1</v>
      </c>
      <c r="BI12" s="31"/>
      <c r="BJ12" s="31">
        <v>13903.246223647729</v>
      </c>
      <c r="BK12" s="31"/>
      <c r="BL12" s="33">
        <v>7.9294100052341303</v>
      </c>
      <c r="BM12" s="31">
        <v>1165340428.48352</v>
      </c>
      <c r="BN12" s="41">
        <v>3808.0024741511816</v>
      </c>
      <c r="BO12" s="31">
        <v>6110.9159913701887</v>
      </c>
      <c r="BP12" s="31">
        <v>15.104643333333334</v>
      </c>
      <c r="BQ12" s="31"/>
      <c r="BR12" s="31">
        <v>2959.0137485677842</v>
      </c>
      <c r="BS12" s="31"/>
      <c r="BT12" s="33">
        <v>5.3023877321993798</v>
      </c>
      <c r="BU12" s="31">
        <v>508236348.46242702</v>
      </c>
      <c r="BV12" s="56">
        <v>454.0327236147495</v>
      </c>
      <c r="BW12" s="57">
        <v>438.48929554838304</v>
      </c>
      <c r="BX12" s="57">
        <v>1.6069583333333299</v>
      </c>
      <c r="BY12" s="57"/>
      <c r="BZ12" s="57">
        <v>1804.6657649372937</v>
      </c>
      <c r="CA12" s="57"/>
      <c r="CB12" s="58"/>
      <c r="CC12" s="59">
        <v>20820560020.651299</v>
      </c>
    </row>
    <row r="13" spans="1:88" ht="14.25" x14ac:dyDescent="0.45">
      <c r="A13" s="6">
        <v>2004</v>
      </c>
      <c r="B13" s="52"/>
      <c r="C13" s="52"/>
      <c r="D13" s="52"/>
      <c r="E13" s="53">
        <v>11.9</v>
      </c>
      <c r="F13" s="53">
        <v>14.2</v>
      </c>
      <c r="G13" s="53">
        <v>13</v>
      </c>
      <c r="H13" s="54"/>
      <c r="I13" s="61"/>
      <c r="J13" s="35"/>
      <c r="K13" s="35"/>
      <c r="L13" s="35"/>
      <c r="M13" s="27">
        <v>16.3</v>
      </c>
      <c r="N13" s="27">
        <v>17.600000000000001</v>
      </c>
      <c r="O13" s="27">
        <v>32</v>
      </c>
      <c r="P13" s="36"/>
      <c r="Q13" s="36"/>
      <c r="R13" s="38"/>
      <c r="S13" s="35"/>
      <c r="T13" s="35"/>
      <c r="U13" s="27">
        <v>10</v>
      </c>
      <c r="V13" s="27">
        <v>12.8</v>
      </c>
      <c r="W13" s="27">
        <v>15</v>
      </c>
      <c r="X13" s="36"/>
      <c r="Y13" s="39"/>
      <c r="Z13" s="35"/>
      <c r="AA13" s="35"/>
      <c r="AB13" s="35"/>
      <c r="AC13" s="27">
        <v>12.2</v>
      </c>
      <c r="AD13" s="27">
        <v>15.3</v>
      </c>
      <c r="AE13" s="27">
        <v>17</v>
      </c>
      <c r="AF13" s="36"/>
      <c r="AG13" s="35"/>
      <c r="AH13" s="51"/>
      <c r="AI13" s="52"/>
      <c r="AJ13" s="52"/>
      <c r="AK13" s="53">
        <v>12.7</v>
      </c>
      <c r="AL13" s="53">
        <v>13.3</v>
      </c>
      <c r="AM13" s="53">
        <v>26</v>
      </c>
      <c r="AN13" s="54"/>
      <c r="AO13" s="55"/>
      <c r="AP13" s="57">
        <v>17766.730683478625</v>
      </c>
      <c r="AQ13" s="57">
        <v>14811.075132691652</v>
      </c>
      <c r="AR13" s="57">
        <v>2.9233008189033192</v>
      </c>
      <c r="AS13" s="57"/>
      <c r="AT13" s="57">
        <v>74725.202386252582</v>
      </c>
      <c r="AU13" s="57"/>
      <c r="AV13" s="57"/>
      <c r="AW13" s="57">
        <v>19659591803.978802</v>
      </c>
      <c r="AX13" s="41">
        <v>5440.9628944698552</v>
      </c>
      <c r="AY13" s="31">
        <v>6546.4261299038571</v>
      </c>
      <c r="AZ13" s="31">
        <v>7.9362666666666666</v>
      </c>
      <c r="BA13" s="31"/>
      <c r="BB13" s="31">
        <v>8623.2246060543694</v>
      </c>
      <c r="BC13" s="31"/>
      <c r="BD13" s="33">
        <v>4.4373808010172402</v>
      </c>
      <c r="BE13" s="31">
        <v>1271422924.68151</v>
      </c>
      <c r="BF13" s="31">
        <v>9016.600240630085</v>
      </c>
      <c r="BG13" s="31">
        <v>11354.863149384197</v>
      </c>
      <c r="BH13" s="31">
        <v>1</v>
      </c>
      <c r="BI13" s="31"/>
      <c r="BJ13" s="31">
        <v>13631.180155100534</v>
      </c>
      <c r="BK13" s="31"/>
      <c r="BL13" s="33">
        <v>2.7421813294164399</v>
      </c>
      <c r="BM13" s="31">
        <v>1439913954.6356599</v>
      </c>
      <c r="BN13" s="41">
        <v>3955.859611999027</v>
      </c>
      <c r="BO13" s="31">
        <v>6187.8543429312449</v>
      </c>
      <c r="BP13" s="31">
        <v>15.937247316462733</v>
      </c>
      <c r="BQ13" s="31"/>
      <c r="BR13" s="31">
        <v>3194.7419060062384</v>
      </c>
      <c r="BS13" s="31"/>
      <c r="BT13" s="33">
        <v>8.4702106358407399</v>
      </c>
      <c r="BU13" s="31">
        <v>668198634.90663302</v>
      </c>
      <c r="BV13" s="56">
        <v>527.86640109950565</v>
      </c>
      <c r="BW13" s="57">
        <v>503.6583047292886</v>
      </c>
      <c r="BX13" s="57">
        <v>1.89133333333333</v>
      </c>
      <c r="BY13" s="57"/>
      <c r="BZ13" s="57">
        <v>1813.3991955954698</v>
      </c>
      <c r="CA13" s="57"/>
      <c r="CB13" s="58"/>
      <c r="CC13" s="59">
        <v>23408050057.212799</v>
      </c>
    </row>
    <row r="14" spans="1:88" ht="14.25" x14ac:dyDescent="0.45">
      <c r="A14" s="6">
        <v>2005</v>
      </c>
      <c r="B14" s="52"/>
      <c r="C14" s="52"/>
      <c r="D14" s="52"/>
      <c r="E14" s="53">
        <v>12.1</v>
      </c>
      <c r="F14" s="53">
        <v>14.5</v>
      </c>
      <c r="G14" s="53">
        <v>15</v>
      </c>
      <c r="H14" s="54"/>
      <c r="I14" s="61"/>
      <c r="J14" s="35"/>
      <c r="K14" s="35"/>
      <c r="L14" s="35"/>
      <c r="M14" s="27">
        <v>17.7</v>
      </c>
      <c r="N14" s="27">
        <v>19</v>
      </c>
      <c r="O14" s="27">
        <v>33</v>
      </c>
      <c r="P14" s="36"/>
      <c r="Q14" s="36"/>
      <c r="R14" s="38"/>
      <c r="S14" s="35"/>
      <c r="T14" s="35"/>
      <c r="U14" s="27">
        <v>10.6</v>
      </c>
      <c r="V14" s="27">
        <v>13.3</v>
      </c>
      <c r="W14" s="27">
        <v>14</v>
      </c>
      <c r="X14" s="36"/>
      <c r="Y14" s="39"/>
      <c r="Z14" s="35"/>
      <c r="AA14" s="35"/>
      <c r="AB14" s="35"/>
      <c r="AC14" s="27">
        <v>12.9</v>
      </c>
      <c r="AD14" s="27">
        <v>16.100000000000001</v>
      </c>
      <c r="AE14" s="27">
        <v>17</v>
      </c>
      <c r="AF14" s="36"/>
      <c r="AG14" s="35"/>
      <c r="AH14" s="51"/>
      <c r="AI14" s="52"/>
      <c r="AJ14" s="52"/>
      <c r="AK14" s="53">
        <v>15.3</v>
      </c>
      <c r="AL14" s="53">
        <v>15.9</v>
      </c>
      <c r="AM14" s="53">
        <v>27</v>
      </c>
      <c r="AN14" s="54"/>
      <c r="AO14" s="55"/>
      <c r="AP14" s="57">
        <v>19140.007730453643</v>
      </c>
      <c r="AQ14" s="57">
        <v>16020.628520860671</v>
      </c>
      <c r="AR14" s="57">
        <v>2.9036575</v>
      </c>
      <c r="AS14" s="57"/>
      <c r="AT14" s="57">
        <v>78996.97687625885</v>
      </c>
      <c r="AU14" s="57"/>
      <c r="AV14" s="57"/>
      <c r="AW14" s="57">
        <v>28081718501.557899</v>
      </c>
      <c r="AX14" s="41">
        <v>5581.0486804434349</v>
      </c>
      <c r="AY14" s="31">
        <v>6551.699740712972</v>
      </c>
      <c r="AZ14" s="31">
        <v>8.066062500000001</v>
      </c>
      <c r="BA14" s="31"/>
      <c r="BB14" s="31">
        <v>8473.9623892464442</v>
      </c>
      <c r="BC14" s="31"/>
      <c r="BD14" s="33">
        <v>5.3932310689066396</v>
      </c>
      <c r="BE14" s="31">
        <v>1794984952.8081999</v>
      </c>
      <c r="BF14" s="31">
        <v>9336.1357445225603</v>
      </c>
      <c r="BG14" s="31">
        <v>12042.493122238693</v>
      </c>
      <c r="BH14" s="31">
        <v>1</v>
      </c>
      <c r="BI14" s="31"/>
      <c r="BJ14" s="31">
        <v>12882.565922573209</v>
      </c>
      <c r="BK14" s="31"/>
      <c r="BL14" s="33">
        <v>2.4077697831568998</v>
      </c>
      <c r="BM14" s="31">
        <v>2147944603.1967402</v>
      </c>
      <c r="BN14" s="41">
        <v>4069.3217110875971</v>
      </c>
      <c r="BO14" s="31">
        <v>6217.9682633015573</v>
      </c>
      <c r="BP14" s="31">
        <v>16.733329534050181</v>
      </c>
      <c r="BQ14" s="31"/>
      <c r="BR14" s="31">
        <v>3472.1955996830366</v>
      </c>
      <c r="BS14" s="31"/>
      <c r="BT14" s="33">
        <v>9.5990998606442606</v>
      </c>
      <c r="BU14" s="31">
        <v>727807750.90758395</v>
      </c>
      <c r="BV14" s="56">
        <v>572.72892491281641</v>
      </c>
      <c r="BW14" s="57">
        <v>516.0866499814482</v>
      </c>
      <c r="BX14" s="57">
        <v>2.08975</v>
      </c>
      <c r="BY14" s="57"/>
      <c r="BZ14" s="57">
        <v>1708.2401357556519</v>
      </c>
      <c r="CA14" s="57"/>
      <c r="CB14" s="58"/>
      <c r="CC14" s="59">
        <v>29802940547.694599</v>
      </c>
    </row>
    <row r="15" spans="1:88" ht="14.25" x14ac:dyDescent="0.45">
      <c r="A15" s="6">
        <v>2006</v>
      </c>
      <c r="B15" s="52"/>
      <c r="C15" s="52"/>
      <c r="D15" s="52"/>
      <c r="E15" s="53">
        <v>11.9</v>
      </c>
      <c r="F15" s="53">
        <v>14.7</v>
      </c>
      <c r="G15" s="53">
        <v>15</v>
      </c>
      <c r="H15" s="54"/>
      <c r="I15" s="61"/>
      <c r="J15" s="42"/>
      <c r="K15" s="43"/>
      <c r="L15" s="43"/>
      <c r="M15" s="44">
        <v>17.2</v>
      </c>
      <c r="N15" s="44">
        <v>18.3</v>
      </c>
      <c r="O15" s="44">
        <v>29</v>
      </c>
      <c r="P15" s="45"/>
      <c r="Q15" s="60"/>
      <c r="R15" s="38"/>
      <c r="S15" s="35"/>
      <c r="T15" s="35"/>
      <c r="U15" s="27">
        <v>10.9</v>
      </c>
      <c r="V15" s="27">
        <v>14.2</v>
      </c>
      <c r="W15" s="27">
        <v>14</v>
      </c>
      <c r="X15" s="36"/>
      <c r="Y15" s="39"/>
      <c r="Z15" s="35"/>
      <c r="AA15" s="35"/>
      <c r="AB15" s="35"/>
      <c r="AC15" s="27">
        <v>13.7</v>
      </c>
      <c r="AD15" s="27">
        <v>17.2</v>
      </c>
      <c r="AE15" s="27">
        <v>18</v>
      </c>
      <c r="AF15" s="36"/>
      <c r="AG15" s="35"/>
      <c r="AH15" s="51"/>
      <c r="AI15" s="52"/>
      <c r="AJ15" s="52"/>
      <c r="AK15" s="53">
        <v>15.6</v>
      </c>
      <c r="AL15" s="53">
        <v>16.3</v>
      </c>
      <c r="AM15" s="53">
        <v>31</v>
      </c>
      <c r="AN15" s="54"/>
      <c r="AO15" s="55"/>
      <c r="AP15" s="57">
        <v>20471.298294690554</v>
      </c>
      <c r="AQ15" s="57">
        <v>17545.915044372108</v>
      </c>
      <c r="AR15" s="57">
        <v>3.054313333333333</v>
      </c>
      <c r="AS15" s="57"/>
      <c r="AT15" s="57">
        <v>90554.221184045076</v>
      </c>
      <c r="AU15" s="57"/>
      <c r="AV15" s="57"/>
      <c r="AW15" s="57">
        <v>32022297112.980598</v>
      </c>
      <c r="AX15" s="47">
        <v>5747.2220950181609</v>
      </c>
      <c r="AY15" s="48">
        <v>6190.3187297057593</v>
      </c>
      <c r="AZ15" s="48">
        <v>8.0116166666666668</v>
      </c>
      <c r="BA15" s="48"/>
      <c r="BB15" s="48">
        <v>8245.9519115852891</v>
      </c>
      <c r="BC15" s="48"/>
      <c r="BD15" s="49">
        <v>4.2823960480256504</v>
      </c>
      <c r="BE15" s="48">
        <v>3193982720.1209798</v>
      </c>
      <c r="BF15" s="31">
        <v>9585.3417190966557</v>
      </c>
      <c r="BG15" s="31">
        <v>12602.422101301347</v>
      </c>
      <c r="BH15" s="31">
        <v>1</v>
      </c>
      <c r="BI15" s="31"/>
      <c r="BJ15" s="31">
        <v>13215.716507613659</v>
      </c>
      <c r="BK15" s="31"/>
      <c r="BL15" s="33">
        <v>3.2987484625821799</v>
      </c>
      <c r="BM15" s="31">
        <v>2026480313.6912899</v>
      </c>
      <c r="BN15" s="41">
        <v>4180.5759656563041</v>
      </c>
      <c r="BO15" s="31">
        <v>6302.2916676125396</v>
      </c>
      <c r="BP15" s="31">
        <v>17.569998431899641</v>
      </c>
      <c r="BQ15" s="31"/>
      <c r="BR15" s="31">
        <v>3668.6912119585031</v>
      </c>
      <c r="BS15" s="31"/>
      <c r="BT15" s="33">
        <v>9.1401996677771997</v>
      </c>
      <c r="BU15" s="31">
        <v>921891810.93880701</v>
      </c>
      <c r="BV15" s="56">
        <v>619.47941896155396</v>
      </c>
      <c r="BW15" s="57">
        <v>569.62010019242348</v>
      </c>
      <c r="BX15" s="57">
        <v>2.1469999999999998</v>
      </c>
      <c r="BY15" s="57"/>
      <c r="BZ15" s="57">
        <v>1872.7964094239578</v>
      </c>
      <c r="CA15" s="57"/>
      <c r="CB15" s="58"/>
      <c r="CC15" s="59">
        <v>36715128120.243797</v>
      </c>
    </row>
    <row r="16" spans="1:88" ht="14.25" x14ac:dyDescent="0.45">
      <c r="A16" s="6">
        <v>2007</v>
      </c>
      <c r="B16" s="52"/>
      <c r="C16" s="52"/>
      <c r="D16" s="52"/>
      <c r="E16" s="53">
        <v>11.5</v>
      </c>
      <c r="F16" s="53">
        <v>15.6</v>
      </c>
      <c r="G16" s="53">
        <v>16</v>
      </c>
      <c r="H16" s="54"/>
      <c r="I16" s="61"/>
      <c r="J16" s="51"/>
      <c r="K16" s="52"/>
      <c r="L16" s="52"/>
      <c r="M16" s="53">
        <v>17.8</v>
      </c>
      <c r="N16" s="53">
        <v>18.899999999999999</v>
      </c>
      <c r="O16" s="53">
        <v>30</v>
      </c>
      <c r="P16" s="54"/>
      <c r="Q16" s="61"/>
      <c r="R16" s="42"/>
      <c r="S16" s="43"/>
      <c r="T16" s="43"/>
      <c r="U16" s="44">
        <v>11.2</v>
      </c>
      <c r="V16" s="44">
        <v>14.8</v>
      </c>
      <c r="W16" s="44">
        <v>16</v>
      </c>
      <c r="X16" s="45"/>
      <c r="Y16" s="62"/>
      <c r="Z16" s="42"/>
      <c r="AA16" s="43"/>
      <c r="AB16" s="43"/>
      <c r="AC16" s="44">
        <v>13.9</v>
      </c>
      <c r="AD16" s="44">
        <v>17.5</v>
      </c>
      <c r="AE16" s="44">
        <v>17</v>
      </c>
      <c r="AF16" s="45"/>
      <c r="AG16" s="62"/>
      <c r="AH16" s="51"/>
      <c r="AI16" s="52"/>
      <c r="AJ16" s="52"/>
      <c r="AK16" s="53">
        <v>16</v>
      </c>
      <c r="AL16" s="53">
        <v>16.8</v>
      </c>
      <c r="AM16" s="53">
        <v>28</v>
      </c>
      <c r="AN16" s="54"/>
      <c r="AO16" s="55"/>
      <c r="AP16" s="57">
        <v>22093.492841437652</v>
      </c>
      <c r="AQ16" s="57">
        <v>18859.560677885689</v>
      </c>
      <c r="AR16" s="57">
        <v>3.095648849206349</v>
      </c>
      <c r="AS16" s="57"/>
      <c r="AT16" s="57">
        <v>109193.59473899473</v>
      </c>
      <c r="AU16" s="57"/>
      <c r="AV16" s="57"/>
      <c r="AW16" s="57">
        <v>46149456855.780197</v>
      </c>
      <c r="AX16" s="56">
        <v>5907.067844053825</v>
      </c>
      <c r="AY16" s="57">
        <v>6280.5787798738702</v>
      </c>
      <c r="AZ16" s="57">
        <v>7.8512451612500005</v>
      </c>
      <c r="BA16" s="57"/>
      <c r="BB16" s="57">
        <v>8091.7904266723781</v>
      </c>
      <c r="BC16" s="57"/>
      <c r="BD16" s="58">
        <v>8.7056092357886907</v>
      </c>
      <c r="BE16" s="57">
        <v>5313631986.1459398</v>
      </c>
      <c r="BF16" s="48">
        <v>9632.7716351566323</v>
      </c>
      <c r="BG16" s="48">
        <v>12831.09431194259</v>
      </c>
      <c r="BH16" s="48">
        <v>1</v>
      </c>
      <c r="BI16" s="48"/>
      <c r="BJ16" s="48">
        <v>13831.097562062787</v>
      </c>
      <c r="BK16" s="48"/>
      <c r="BL16" s="49">
        <v>2.2761847800211998</v>
      </c>
      <c r="BM16" s="48">
        <v>3520672992.4577899</v>
      </c>
      <c r="BN16" s="47">
        <v>4332.8449893382094</v>
      </c>
      <c r="BO16" s="48">
        <v>6448.049322763176</v>
      </c>
      <c r="BP16" s="48">
        <v>18.448506159754221</v>
      </c>
      <c r="BQ16" s="48"/>
      <c r="BR16" s="48">
        <v>3707.4843215271248</v>
      </c>
      <c r="BS16" s="48"/>
      <c r="BT16" s="49">
        <v>11.1269347446119</v>
      </c>
      <c r="BU16" s="48">
        <v>1103322447.1090901</v>
      </c>
      <c r="BV16" s="56">
        <v>663.88068932926603</v>
      </c>
      <c r="BW16" s="57">
        <v>641.48323676677342</v>
      </c>
      <c r="BX16" s="57">
        <v>2.1469999999999998</v>
      </c>
      <c r="BY16" s="57"/>
      <c r="BZ16" s="57">
        <v>2193.4612443112565</v>
      </c>
      <c r="CA16" s="57"/>
      <c r="CB16" s="58"/>
      <c r="CC16" s="59">
        <v>33759218864.923599</v>
      </c>
    </row>
    <row r="17" spans="1:81" ht="14.25" x14ac:dyDescent="0.45">
      <c r="A17" s="6">
        <v>2008</v>
      </c>
      <c r="B17" s="52"/>
      <c r="C17" s="52"/>
      <c r="D17" s="52"/>
      <c r="E17" s="53">
        <v>12.4</v>
      </c>
      <c r="F17" s="53">
        <v>16.3</v>
      </c>
      <c r="G17" s="53">
        <v>17</v>
      </c>
      <c r="H17" s="54"/>
      <c r="I17" s="61"/>
      <c r="J17" s="51"/>
      <c r="K17" s="52"/>
      <c r="L17" s="52"/>
      <c r="M17" s="53">
        <v>19.2</v>
      </c>
      <c r="N17" s="53">
        <v>20.3</v>
      </c>
      <c r="O17" s="53">
        <v>33</v>
      </c>
      <c r="P17" s="54"/>
      <c r="Q17" s="61"/>
      <c r="R17" s="51"/>
      <c r="S17" s="52"/>
      <c r="T17" s="52"/>
      <c r="U17" s="53">
        <v>11.2</v>
      </c>
      <c r="V17" s="53">
        <v>14.6</v>
      </c>
      <c r="W17" s="53">
        <v>21</v>
      </c>
      <c r="X17" s="54"/>
      <c r="Y17" s="63"/>
      <c r="Z17" s="51"/>
      <c r="AA17" s="52"/>
      <c r="AB17" s="52"/>
      <c r="AC17" s="53">
        <v>13.2</v>
      </c>
      <c r="AD17" s="53">
        <v>16.899999999999999</v>
      </c>
      <c r="AE17" s="53">
        <v>17</v>
      </c>
      <c r="AF17" s="54"/>
      <c r="AG17" s="63"/>
      <c r="AH17" s="51"/>
      <c r="AI17" s="52"/>
      <c r="AJ17" s="52"/>
      <c r="AK17" s="53">
        <v>13.4</v>
      </c>
      <c r="AL17" s="53">
        <v>14.1</v>
      </c>
      <c r="AM17" s="53">
        <v>27</v>
      </c>
      <c r="AN17" s="54"/>
      <c r="AO17" s="55"/>
      <c r="AP17" s="57">
        <v>22762.809891477478</v>
      </c>
      <c r="AQ17" s="57">
        <v>21202.423213867489</v>
      </c>
      <c r="AR17" s="57">
        <v>3.1441645598845596</v>
      </c>
      <c r="AS17" s="57"/>
      <c r="AT17" s="57">
        <v>126681.10393690132</v>
      </c>
      <c r="AU17" s="57"/>
      <c r="AV17" s="57"/>
      <c r="AW17" s="57">
        <v>46385380206.980103</v>
      </c>
      <c r="AX17" s="56">
        <v>6165.1207216533658</v>
      </c>
      <c r="AY17" s="57">
        <v>6191.905597086431</v>
      </c>
      <c r="AZ17" s="57">
        <v>7.2383206989166666</v>
      </c>
      <c r="BA17" s="57"/>
      <c r="BB17" s="57">
        <v>7608.3800160204992</v>
      </c>
      <c r="BC17" s="57"/>
      <c r="BD17" s="58">
        <v>14.006810770251899</v>
      </c>
      <c r="BE17" s="57">
        <v>7719766413.099</v>
      </c>
      <c r="BF17" s="57">
        <v>10076.558113075642</v>
      </c>
      <c r="BG17" s="57">
        <v>13825.822925252809</v>
      </c>
      <c r="BH17" s="57">
        <v>1</v>
      </c>
      <c r="BI17" s="57"/>
      <c r="BJ17" s="57">
        <v>15072.963870118372</v>
      </c>
      <c r="BK17" s="57"/>
      <c r="BL17" s="58">
        <v>8.4000959398746193</v>
      </c>
      <c r="BM17" s="57">
        <v>4472854631.2803097</v>
      </c>
      <c r="BN17" s="56">
        <v>4420.5206167449387</v>
      </c>
      <c r="BO17" s="57">
        <v>6642.5126277351674</v>
      </c>
      <c r="BP17" s="57">
        <v>19.371896406501051</v>
      </c>
      <c r="BQ17" s="57"/>
      <c r="BR17" s="57">
        <v>4073.6878770142794</v>
      </c>
      <c r="BS17" s="57"/>
      <c r="BT17" s="58">
        <v>19.826203128742801</v>
      </c>
      <c r="BU17" s="57">
        <v>1140842519.60378</v>
      </c>
      <c r="BV17" s="56">
        <v>689.1009090345101</v>
      </c>
      <c r="BW17" s="57">
        <v>602.49919688628734</v>
      </c>
      <c r="BX17" s="57">
        <v>2.1469999999999998</v>
      </c>
      <c r="BY17" s="57"/>
      <c r="BZ17" s="57">
        <v>2214.966093924595</v>
      </c>
      <c r="CA17" s="57"/>
      <c r="CB17" s="58"/>
      <c r="CC17" s="59">
        <v>43065463087.277802</v>
      </c>
    </row>
    <row r="18" spans="1:81" ht="14.25" x14ac:dyDescent="0.45">
      <c r="A18" s="6">
        <v>2009</v>
      </c>
      <c r="B18" s="52"/>
      <c r="C18" s="52"/>
      <c r="D18" s="52"/>
      <c r="E18" s="53">
        <v>11.4</v>
      </c>
      <c r="F18" s="53">
        <v>16.7</v>
      </c>
      <c r="G18" s="53">
        <v>20</v>
      </c>
      <c r="H18" s="54"/>
      <c r="I18" s="61"/>
      <c r="J18" s="51"/>
      <c r="K18" s="52"/>
      <c r="L18" s="52"/>
      <c r="M18" s="53">
        <v>19.5</v>
      </c>
      <c r="N18" s="53">
        <v>20.7</v>
      </c>
      <c r="O18" s="53">
        <v>35</v>
      </c>
      <c r="P18" s="54"/>
      <c r="Q18" s="61"/>
      <c r="R18" s="51"/>
      <c r="S18" s="52"/>
      <c r="T18" s="52"/>
      <c r="U18" s="53">
        <v>12.1</v>
      </c>
      <c r="V18" s="53">
        <v>15.4</v>
      </c>
      <c r="W18" s="53">
        <v>23</v>
      </c>
      <c r="X18" s="54"/>
      <c r="Y18" s="63"/>
      <c r="Z18" s="51"/>
      <c r="AA18" s="52"/>
      <c r="AB18" s="52"/>
      <c r="AC18" s="53">
        <v>13.1</v>
      </c>
      <c r="AD18" s="53">
        <v>17.2</v>
      </c>
      <c r="AE18" s="53">
        <v>18</v>
      </c>
      <c r="AF18" s="54"/>
      <c r="AG18" s="63"/>
      <c r="AH18" s="51"/>
      <c r="AI18" s="52"/>
      <c r="AJ18" s="52"/>
      <c r="AK18" s="53">
        <v>13.3</v>
      </c>
      <c r="AL18" s="53">
        <v>14.3</v>
      </c>
      <c r="AM18" s="53">
        <v>27</v>
      </c>
      <c r="AN18" s="54"/>
      <c r="AO18" s="55"/>
      <c r="AP18" s="57">
        <v>21202.595717962904</v>
      </c>
      <c r="AQ18" s="57">
        <v>21693.25578689816</v>
      </c>
      <c r="AR18" s="57">
        <v>3.7101068305232801</v>
      </c>
      <c r="AS18" s="57"/>
      <c r="AT18" s="57">
        <v>153793.7335633114</v>
      </c>
      <c r="AU18" s="57"/>
      <c r="AV18" s="57"/>
      <c r="AW18" s="57">
        <v>48006988635.325302</v>
      </c>
      <c r="AX18" s="56">
        <v>6266.8122243932366</v>
      </c>
      <c r="AY18" s="57">
        <v>6761.4325184742438</v>
      </c>
      <c r="AZ18" s="57">
        <v>7.02</v>
      </c>
      <c r="BA18" s="57"/>
      <c r="BB18" s="57">
        <v>7487.453915435588</v>
      </c>
      <c r="BC18" s="57"/>
      <c r="BD18" s="58">
        <v>3.3464542014201202</v>
      </c>
      <c r="BE18" s="57">
        <v>8574579206.4963598</v>
      </c>
      <c r="BF18" s="57">
        <v>9969.9297075811555</v>
      </c>
      <c r="BG18" s="57">
        <v>14070.382667470027</v>
      </c>
      <c r="BH18" s="57">
        <v>1</v>
      </c>
      <c r="BI18" s="57"/>
      <c r="BJ18" s="57">
        <v>17614.347656361293</v>
      </c>
      <c r="BK18" s="57"/>
      <c r="BL18" s="58">
        <v>5.1599682918104604</v>
      </c>
      <c r="BM18" s="57">
        <v>3792122231.6349001</v>
      </c>
      <c r="BN18" s="56">
        <v>4216.8615877162511</v>
      </c>
      <c r="BO18" s="57">
        <v>6284.3151011365817</v>
      </c>
      <c r="BP18" s="57">
        <v>20.339481870199702</v>
      </c>
      <c r="BQ18" s="57"/>
      <c r="BR18" s="57">
        <v>4132.3152889780467</v>
      </c>
      <c r="BS18" s="57"/>
      <c r="BT18" s="58">
        <v>3.6870016049880099</v>
      </c>
      <c r="BU18" s="57">
        <v>1573082251.3917201</v>
      </c>
      <c r="BV18" s="56">
        <v>657.6294694966208</v>
      </c>
      <c r="BW18" s="57">
        <v>685.61976231428537</v>
      </c>
      <c r="BX18" s="57">
        <v>2.1469999999999998</v>
      </c>
      <c r="BY18" s="57"/>
      <c r="BZ18" s="57">
        <v>2663.6158699506195</v>
      </c>
      <c r="CA18" s="57"/>
      <c r="CB18" s="58">
        <v>27.0809414466131</v>
      </c>
      <c r="CC18" s="59">
        <v>34317956993.545799</v>
      </c>
    </row>
    <row r="19" spans="1:81" ht="14.25" x14ac:dyDescent="0.45">
      <c r="A19" s="6">
        <v>2010</v>
      </c>
      <c r="B19" s="52"/>
      <c r="C19" s="52"/>
      <c r="D19" s="52"/>
      <c r="E19" s="53">
        <v>11.9</v>
      </c>
      <c r="F19" s="53">
        <v>17.2</v>
      </c>
      <c r="G19" s="53">
        <v>20</v>
      </c>
      <c r="H19" s="54"/>
      <c r="I19" s="61"/>
      <c r="J19" s="51"/>
      <c r="K19" s="52"/>
      <c r="L19" s="52"/>
      <c r="M19" s="53">
        <v>18.100000000000001</v>
      </c>
      <c r="N19" s="53">
        <v>19.3</v>
      </c>
      <c r="O19" s="53">
        <v>31</v>
      </c>
      <c r="P19" s="54"/>
      <c r="Q19" s="61"/>
      <c r="R19" s="51"/>
      <c r="S19" s="52"/>
      <c r="T19" s="52"/>
      <c r="U19" s="53">
        <v>12.2</v>
      </c>
      <c r="V19" s="53">
        <v>15.8</v>
      </c>
      <c r="W19" s="53">
        <v>23</v>
      </c>
      <c r="X19" s="54"/>
      <c r="Y19" s="63"/>
      <c r="Z19" s="51"/>
      <c r="AA19" s="52"/>
      <c r="AB19" s="52"/>
      <c r="AC19" s="53">
        <v>13.7</v>
      </c>
      <c r="AD19" s="53">
        <v>18</v>
      </c>
      <c r="AE19" s="53">
        <v>17</v>
      </c>
      <c r="AF19" s="54"/>
      <c r="AG19" s="63"/>
      <c r="AH19" s="51"/>
      <c r="AI19" s="52"/>
      <c r="AJ19" s="52"/>
      <c r="AK19" s="53">
        <v>10.9</v>
      </c>
      <c r="AL19" s="53">
        <v>11.9</v>
      </c>
      <c r="AM19" s="53">
        <v>22</v>
      </c>
      <c r="AN19" s="54"/>
      <c r="AO19" s="55"/>
      <c r="AP19" s="57">
        <v>23113.661352895528</v>
      </c>
      <c r="AQ19" s="57">
        <v>23044.233885250469</v>
      </c>
      <c r="AR19" s="57">
        <v>3.8962951544704998</v>
      </c>
      <c r="AS19" s="57"/>
      <c r="AT19" s="57">
        <v>187205.35951594543</v>
      </c>
      <c r="AU19" s="57"/>
      <c r="AV19" s="57"/>
      <c r="AW19" s="57">
        <v>52207549724.092796</v>
      </c>
      <c r="AX19" s="56">
        <v>6419.0454052508867</v>
      </c>
      <c r="AY19" s="57">
        <v>6537.6288452712879</v>
      </c>
      <c r="AZ19" s="57">
        <v>7.0166666666666702</v>
      </c>
      <c r="BA19" s="57"/>
      <c r="BB19" s="57">
        <v>7081.1977729513601</v>
      </c>
      <c r="BC19" s="57"/>
      <c r="BD19" s="58">
        <v>2.5032760584423999</v>
      </c>
      <c r="BE19" s="57">
        <v>9730683978.9249496</v>
      </c>
      <c r="BF19" s="57">
        <v>10158.65233413343</v>
      </c>
      <c r="BG19" s="57">
        <v>14556.455738105498</v>
      </c>
      <c r="BH19" s="57">
        <v>1</v>
      </c>
      <c r="BI19" s="57"/>
      <c r="BJ19" s="57">
        <v>18140.578220332973</v>
      </c>
      <c r="BK19" s="57"/>
      <c r="BL19" s="58">
        <v>3.5543773456784602</v>
      </c>
      <c r="BM19" s="57">
        <v>2622493356.3825202</v>
      </c>
      <c r="BN19" s="56">
        <v>4343.4563772253568</v>
      </c>
      <c r="BO19" s="57">
        <v>6382.570063406295</v>
      </c>
      <c r="BP19" s="57">
        <v>21.356448683435801</v>
      </c>
      <c r="BQ19" s="57"/>
      <c r="BR19" s="57">
        <v>4370.1693517969397</v>
      </c>
      <c r="BS19" s="57"/>
      <c r="BT19" s="58">
        <v>5.4551342588741498</v>
      </c>
      <c r="BU19" s="57">
        <v>1798981293.1979699</v>
      </c>
      <c r="BV19" s="56">
        <v>638.52378468449649</v>
      </c>
      <c r="BW19" s="57">
        <v>555.75092442582945</v>
      </c>
      <c r="BX19" s="57">
        <v>2.5820603174603201</v>
      </c>
      <c r="BY19" s="57"/>
      <c r="BZ19" s="57">
        <v>2436.4756618614774</v>
      </c>
      <c r="CA19" s="57"/>
      <c r="CB19" s="58">
        <v>28.187464709203901</v>
      </c>
      <c r="CC19" s="59">
        <v>29665473906.390499</v>
      </c>
    </row>
    <row r="20" spans="1:81" ht="14.25" x14ac:dyDescent="0.45">
      <c r="A20" s="6">
        <v>2011</v>
      </c>
      <c r="B20" s="52"/>
      <c r="C20" s="52"/>
      <c r="D20" s="52"/>
      <c r="E20" s="53">
        <v>11.8</v>
      </c>
      <c r="F20" s="53">
        <v>17.100000000000001</v>
      </c>
      <c r="G20" s="53">
        <v>21</v>
      </c>
      <c r="H20" s="54"/>
      <c r="I20" s="61"/>
      <c r="J20" s="51"/>
      <c r="K20" s="52"/>
      <c r="L20" s="52"/>
      <c r="M20" s="53">
        <v>19.600000000000001</v>
      </c>
      <c r="N20" s="53">
        <v>24.2</v>
      </c>
      <c r="O20" s="53">
        <v>34</v>
      </c>
      <c r="P20" s="54"/>
      <c r="Q20" s="61"/>
      <c r="R20" s="51"/>
      <c r="S20" s="52"/>
      <c r="T20" s="52"/>
      <c r="U20" s="53">
        <v>12.3</v>
      </c>
      <c r="V20" s="53">
        <v>17.3</v>
      </c>
      <c r="W20" s="53">
        <v>23</v>
      </c>
      <c r="X20" s="54"/>
      <c r="Y20" s="63"/>
      <c r="Z20" s="51"/>
      <c r="AA20" s="52"/>
      <c r="AB20" s="52"/>
      <c r="AC20" s="53">
        <v>14.5</v>
      </c>
      <c r="AD20" s="53">
        <v>18.8</v>
      </c>
      <c r="AE20" s="53">
        <v>17</v>
      </c>
      <c r="AF20" s="54"/>
      <c r="AG20" s="63"/>
      <c r="AH20" s="51"/>
      <c r="AI20" s="52"/>
      <c r="AJ20" s="52"/>
      <c r="AK20" s="53">
        <v>12</v>
      </c>
      <c r="AL20" s="53">
        <v>13</v>
      </c>
      <c r="AM20" s="53">
        <v>26</v>
      </c>
      <c r="AN20" s="54"/>
      <c r="AO20" s="55"/>
      <c r="AP20" s="57">
        <v>24249.53564211469</v>
      </c>
      <c r="AQ20" s="57">
        <v>25642.085640325255</v>
      </c>
      <c r="AR20" s="57">
        <v>4.1101395762132604</v>
      </c>
      <c r="AS20" s="57"/>
      <c r="AT20" s="57">
        <v>231180.69777015038</v>
      </c>
      <c r="AU20" s="57"/>
      <c r="AV20" s="57"/>
      <c r="AW20" s="57">
        <v>46265800525.880699</v>
      </c>
      <c r="AX20" s="56">
        <v>6644.412392829734</v>
      </c>
      <c r="AY20" s="57">
        <v>6748.3689302661905</v>
      </c>
      <c r="AZ20" s="57">
        <v>6.9369624999999999</v>
      </c>
      <c r="BA20" s="57"/>
      <c r="BB20" s="57">
        <v>6979.707964617759</v>
      </c>
      <c r="BC20" s="57"/>
      <c r="BD20" s="58">
        <v>9.8844641982388701</v>
      </c>
      <c r="BE20" s="57">
        <v>11994673114.823099</v>
      </c>
      <c r="BF20" s="57">
        <v>10790.626752342119</v>
      </c>
      <c r="BG20" s="57">
        <v>15682.954815878367</v>
      </c>
      <c r="BH20" s="57">
        <v>1</v>
      </c>
      <c r="BI20" s="57"/>
      <c r="BJ20" s="57">
        <v>19976.602406902239</v>
      </c>
      <c r="BK20" s="57"/>
      <c r="BL20" s="58">
        <v>4.4745326579583597</v>
      </c>
      <c r="BM20" s="57">
        <v>2957999383.6445098</v>
      </c>
      <c r="BN20" s="56">
        <v>4556.0381192001278</v>
      </c>
      <c r="BO20" s="57">
        <v>6604.7000495232423</v>
      </c>
      <c r="BP20" s="57">
        <v>22.424270616359401</v>
      </c>
      <c r="BQ20" s="57"/>
      <c r="BR20" s="57">
        <v>4715.2235499269445</v>
      </c>
      <c r="BS20" s="57"/>
      <c r="BT20" s="58">
        <v>8.0823879809911006</v>
      </c>
      <c r="BU20" s="57">
        <v>1892248423.80235</v>
      </c>
      <c r="BV20" s="56">
        <v>654.87732575526331</v>
      </c>
      <c r="BW20" s="57">
        <v>565.8536593595984</v>
      </c>
      <c r="BX20" s="57">
        <v>4.2892999999999999</v>
      </c>
      <c r="BY20" s="57"/>
      <c r="BZ20" s="57">
        <v>2676.1295562908344</v>
      </c>
      <c r="CA20" s="57"/>
      <c r="CB20" s="58">
        <v>26.090212316095499</v>
      </c>
      <c r="CC20" s="59">
        <v>27934651458.855598</v>
      </c>
    </row>
    <row r="21" spans="1:81" ht="15.75" customHeight="1" x14ac:dyDescent="0.45">
      <c r="A21" s="6">
        <v>2012</v>
      </c>
      <c r="B21" s="52"/>
      <c r="C21" s="52"/>
      <c r="D21" s="52"/>
      <c r="E21" s="53">
        <v>12</v>
      </c>
      <c r="F21" s="53">
        <v>17.8</v>
      </c>
      <c r="G21" s="53">
        <v>21</v>
      </c>
      <c r="H21" s="54"/>
      <c r="I21" s="61"/>
      <c r="J21" s="51"/>
      <c r="K21" s="52"/>
      <c r="L21" s="52"/>
      <c r="M21" s="53">
        <v>20.100000000000001</v>
      </c>
      <c r="N21" s="53">
        <v>25</v>
      </c>
      <c r="O21" s="53">
        <v>33</v>
      </c>
      <c r="P21" s="54"/>
      <c r="Q21" s="61"/>
      <c r="R21" s="51"/>
      <c r="S21" s="52"/>
      <c r="T21" s="52"/>
      <c r="U21" s="53">
        <v>13.8</v>
      </c>
      <c r="V21" s="53">
        <v>19.3</v>
      </c>
      <c r="W21" s="53">
        <v>24</v>
      </c>
      <c r="X21" s="54"/>
      <c r="Y21" s="63"/>
      <c r="Z21" s="51"/>
      <c r="AA21" s="52"/>
      <c r="AB21" s="52"/>
      <c r="AC21" s="53">
        <v>15</v>
      </c>
      <c r="AD21" s="53">
        <v>19.399999999999999</v>
      </c>
      <c r="AE21" s="53">
        <v>17</v>
      </c>
      <c r="AF21" s="54"/>
      <c r="AG21" s="63"/>
      <c r="AH21" s="51"/>
      <c r="AI21" s="52"/>
      <c r="AJ21" s="52"/>
      <c r="AK21" s="53">
        <v>13.3</v>
      </c>
      <c r="AL21" s="53">
        <v>14.3</v>
      </c>
      <c r="AM21" s="53">
        <v>29</v>
      </c>
      <c r="AN21" s="54"/>
      <c r="AO21" s="55"/>
      <c r="AP21" s="57">
        <v>23750.771640492359</v>
      </c>
      <c r="AQ21" s="57">
        <v>27452.676796893738</v>
      </c>
      <c r="AR21" s="57">
        <v>4.5369343601874599</v>
      </c>
      <c r="AS21" s="57"/>
      <c r="AT21" s="57">
        <v>238965.09588371031</v>
      </c>
      <c r="AU21" s="57"/>
      <c r="AV21" s="57"/>
      <c r="AW21" s="57">
        <v>43223270863.843002</v>
      </c>
      <c r="AX21" s="56">
        <v>6873.8904367895093</v>
      </c>
      <c r="AY21" s="57">
        <v>6879.1069796223319</v>
      </c>
      <c r="AZ21" s="57">
        <v>6.91</v>
      </c>
      <c r="BA21" s="57"/>
      <c r="BB21" s="57">
        <v>6398.2106340999599</v>
      </c>
      <c r="BC21" s="57"/>
      <c r="BD21" s="58">
        <v>4.5156029139936802</v>
      </c>
      <c r="BE21" s="57">
        <v>13924289443.08</v>
      </c>
      <c r="BF21" s="57">
        <v>11229.834531259685</v>
      </c>
      <c r="BG21" s="57">
        <v>16524.836238369036</v>
      </c>
      <c r="BH21" s="57">
        <v>1</v>
      </c>
      <c r="BI21" s="57"/>
      <c r="BJ21" s="57">
        <v>19635.204485808965</v>
      </c>
      <c r="BK21" s="57"/>
      <c r="BL21" s="58">
        <v>5.1017218095867003</v>
      </c>
      <c r="BM21" s="57">
        <v>2486036143.6835699</v>
      </c>
      <c r="BN21" s="56">
        <v>4787.5379584643679</v>
      </c>
      <c r="BO21" s="57">
        <v>6749.4482097088239</v>
      </c>
      <c r="BP21" s="57">
        <v>23.546663531083901</v>
      </c>
      <c r="BQ21" s="57"/>
      <c r="BR21" s="57">
        <v>4828.6211447021924</v>
      </c>
      <c r="BS21" s="57"/>
      <c r="BT21" s="58">
        <v>7.1935505333895202</v>
      </c>
      <c r="BU21" s="57">
        <v>1887214938.20452</v>
      </c>
      <c r="BV21" s="56">
        <v>680.57733887150425</v>
      </c>
      <c r="BW21" s="57">
        <v>648.55443995007647</v>
      </c>
      <c r="BX21" s="57">
        <v>4.2892999999999999</v>
      </c>
      <c r="BY21" s="57"/>
      <c r="BZ21" s="57">
        <v>2801.0982707322109</v>
      </c>
      <c r="CA21" s="57"/>
      <c r="CB21" s="58">
        <v>21.0689956331878</v>
      </c>
      <c r="CC21" s="59">
        <v>29468789162.6861</v>
      </c>
    </row>
    <row r="22" spans="1:81" ht="15.75" customHeight="1" x14ac:dyDescent="0.45">
      <c r="A22" s="6">
        <v>2013</v>
      </c>
      <c r="B22" s="52"/>
      <c r="C22" s="52"/>
      <c r="D22" s="52"/>
      <c r="E22" s="53">
        <v>11.5</v>
      </c>
      <c r="F22" s="53">
        <v>17.5</v>
      </c>
      <c r="G22" s="53">
        <v>22</v>
      </c>
      <c r="H22" s="54"/>
      <c r="I22" s="61"/>
      <c r="J22" s="51"/>
      <c r="K22" s="52"/>
      <c r="L22" s="52"/>
      <c r="M22" s="53">
        <v>20.9</v>
      </c>
      <c r="N22" s="53">
        <v>25.8</v>
      </c>
      <c r="O22" s="53">
        <v>35</v>
      </c>
      <c r="P22" s="54"/>
      <c r="Q22" s="61"/>
      <c r="R22" s="51"/>
      <c r="S22" s="52"/>
      <c r="T22" s="52"/>
      <c r="U22" s="53">
        <v>14.3</v>
      </c>
      <c r="V22" s="53">
        <v>19.100000000000001</v>
      </c>
      <c r="W22" s="53">
        <v>27</v>
      </c>
      <c r="X22" s="54"/>
      <c r="Y22" s="63"/>
      <c r="Z22" s="51"/>
      <c r="AA22" s="52"/>
      <c r="AB22" s="52"/>
      <c r="AC22" s="53">
        <v>15</v>
      </c>
      <c r="AD22" s="53">
        <v>19.7</v>
      </c>
      <c r="AE22" s="53">
        <v>17</v>
      </c>
      <c r="AF22" s="54"/>
      <c r="AG22" s="63"/>
      <c r="AH22" s="51"/>
      <c r="AI22" s="52"/>
      <c r="AJ22" s="52"/>
      <c r="AK22" s="53">
        <v>13.5</v>
      </c>
      <c r="AL22" s="53">
        <v>14.4</v>
      </c>
      <c r="AM22" s="53">
        <v>32</v>
      </c>
      <c r="AN22" s="54"/>
      <c r="AO22" s="55"/>
      <c r="AP22" s="57">
        <v>24067.955859828518</v>
      </c>
      <c r="AQ22" s="57">
        <v>28883.892633828014</v>
      </c>
      <c r="AR22" s="57">
        <v>5.4593526646570396</v>
      </c>
      <c r="AS22" s="57"/>
      <c r="AT22" s="57">
        <v>261670.75751789846</v>
      </c>
      <c r="AU22" s="57"/>
      <c r="AV22" s="57"/>
      <c r="AW22" s="57">
        <v>30533919650.6264</v>
      </c>
      <c r="AX22" s="56">
        <v>7226.3537257774033</v>
      </c>
      <c r="AY22" s="57">
        <v>7277.70804413103</v>
      </c>
      <c r="AZ22" s="57">
        <v>6.91</v>
      </c>
      <c r="BA22" s="57"/>
      <c r="BB22" s="57">
        <v>7215.2975243667606</v>
      </c>
      <c r="BC22" s="57"/>
      <c r="BD22" s="58">
        <v>5.73640023719613</v>
      </c>
      <c r="BE22" s="57">
        <v>14429068711.3771</v>
      </c>
      <c r="BF22" s="57">
        <v>11610.219361177997</v>
      </c>
      <c r="BG22" s="57">
        <v>16533.926414618789</v>
      </c>
      <c r="BH22" s="57">
        <v>1</v>
      </c>
      <c r="BI22" s="57"/>
      <c r="BJ22" s="57">
        <v>21871.959372648736</v>
      </c>
      <c r="BK22" s="57"/>
      <c r="BL22" s="58">
        <v>2.7217757771036499</v>
      </c>
      <c r="BM22" s="57">
        <v>4345840333.4675703</v>
      </c>
      <c r="BN22" s="56">
        <v>4957.193021121635</v>
      </c>
      <c r="BO22" s="57">
        <v>6914.9151648611742</v>
      </c>
      <c r="BP22" s="57">
        <v>24.7227641666667</v>
      </c>
      <c r="BQ22" s="57"/>
      <c r="BR22" s="57">
        <v>5410.4763241782202</v>
      </c>
      <c r="BS22" s="57"/>
      <c r="BT22" s="58">
        <v>7.1354678528940001</v>
      </c>
      <c r="BU22" s="57">
        <v>1992960773.02599</v>
      </c>
      <c r="BV22" s="56">
        <v>679.98662855209227</v>
      </c>
      <c r="BW22" s="57">
        <v>635.41777164386974</v>
      </c>
      <c r="BX22" s="57">
        <v>6.0479618416666696</v>
      </c>
      <c r="BY22" s="57"/>
      <c r="BZ22" s="57">
        <v>3204.5438154155854</v>
      </c>
      <c r="CA22" s="57"/>
      <c r="CB22" s="58">
        <v>40.639427516158797</v>
      </c>
      <c r="CC22" s="59">
        <v>20275216409.445702</v>
      </c>
    </row>
    <row r="23" spans="1:81" ht="15.75" customHeight="1" x14ac:dyDescent="0.45">
      <c r="A23" s="6">
        <v>2014</v>
      </c>
      <c r="B23" s="52"/>
      <c r="C23" s="52"/>
      <c r="D23" s="52"/>
      <c r="E23" s="53">
        <v>11.6</v>
      </c>
      <c r="F23" s="53">
        <v>17.3</v>
      </c>
      <c r="G23" s="53">
        <v>25</v>
      </c>
      <c r="H23" s="54"/>
      <c r="I23" s="61"/>
      <c r="J23" s="51"/>
      <c r="K23" s="52"/>
      <c r="L23" s="52"/>
      <c r="M23" s="53">
        <v>21.4</v>
      </c>
      <c r="N23" s="53">
        <v>26.9</v>
      </c>
      <c r="O23" s="53">
        <v>40</v>
      </c>
      <c r="P23" s="54"/>
      <c r="Q23" s="61"/>
      <c r="R23" s="51"/>
      <c r="S23" s="52"/>
      <c r="T23" s="52"/>
      <c r="U23" s="53">
        <v>14.1</v>
      </c>
      <c r="V23" s="53">
        <v>18.8</v>
      </c>
      <c r="W23" s="53">
        <v>26</v>
      </c>
      <c r="X23" s="54"/>
      <c r="Y23" s="63"/>
      <c r="Z23" s="51"/>
      <c r="AA23" s="52"/>
      <c r="AB23" s="52"/>
      <c r="AC23" s="53">
        <v>15.3</v>
      </c>
      <c r="AD23" s="53">
        <v>20.2</v>
      </c>
      <c r="AE23" s="53">
        <v>18</v>
      </c>
      <c r="AF23" s="54"/>
      <c r="AG23" s="63"/>
      <c r="AH23" s="51"/>
      <c r="AI23" s="52"/>
      <c r="AJ23" s="52"/>
      <c r="AK23" s="53" t="s">
        <v>21</v>
      </c>
      <c r="AL23" s="53" t="s">
        <v>21</v>
      </c>
      <c r="AM23" s="53">
        <v>37</v>
      </c>
      <c r="AN23" s="54"/>
      <c r="AO23" s="55"/>
      <c r="AP23" s="57">
        <v>23220.275451819878</v>
      </c>
      <c r="AQ23" s="57">
        <v>27782.430182901</v>
      </c>
      <c r="AR23" s="57">
        <v>8.0752759928133404</v>
      </c>
      <c r="AS23" s="57"/>
      <c r="AT23" s="57">
        <v>266991.02454301715</v>
      </c>
      <c r="AU23" s="57"/>
      <c r="AV23" s="57"/>
      <c r="AW23" s="57">
        <v>31410813269.523899</v>
      </c>
      <c r="AX23" s="56">
        <v>7504.117439639801</v>
      </c>
      <c r="AY23" s="57">
        <v>7640.1738343997222</v>
      </c>
      <c r="AZ23" s="57">
        <v>6.91</v>
      </c>
      <c r="BA23" s="57"/>
      <c r="BB23" s="57">
        <v>8315.7760950153461</v>
      </c>
      <c r="BC23" s="57"/>
      <c r="BD23" s="58">
        <v>5.7666007457913997</v>
      </c>
      <c r="BE23" s="57">
        <v>15129277524.0077</v>
      </c>
      <c r="BF23" s="57">
        <v>11865.519902406244</v>
      </c>
      <c r="BG23" s="57">
        <v>16822.864769726868</v>
      </c>
      <c r="BH23" s="57">
        <v>1</v>
      </c>
      <c r="BI23" s="57"/>
      <c r="BJ23" s="57">
        <v>24097.762720203027</v>
      </c>
      <c r="BK23" s="57"/>
      <c r="BL23" s="58">
        <v>3.5892201661666898</v>
      </c>
      <c r="BM23" s="57">
        <v>3941357097.57337</v>
      </c>
      <c r="BN23" s="56">
        <v>5126.5363229726327</v>
      </c>
      <c r="BO23" s="57">
        <v>6998.3724164359073</v>
      </c>
      <c r="BP23" s="57">
        <v>25.958900366743499</v>
      </c>
      <c r="BQ23" s="57"/>
      <c r="BR23" s="57">
        <v>5980.9010182495695</v>
      </c>
      <c r="BS23" s="57"/>
      <c r="BT23" s="58">
        <v>6.0359686179843104</v>
      </c>
      <c r="BU23" s="57">
        <v>2276176780.7117</v>
      </c>
      <c r="BV23" s="56">
        <v>647.80758345846527</v>
      </c>
      <c r="BW23" s="57">
        <v>733.02848106752617</v>
      </c>
      <c r="BX23" s="57">
        <v>8.3394934503672395</v>
      </c>
      <c r="BY23" s="57"/>
      <c r="BZ23" s="57">
        <v>3599.7734110001475</v>
      </c>
      <c r="CA23" s="57"/>
      <c r="CB23" s="58">
        <v>62.168649979483</v>
      </c>
      <c r="CC23" s="59">
        <v>21454894042.424301</v>
      </c>
    </row>
    <row r="24" spans="1:81" ht="15.75" customHeight="1" x14ac:dyDescent="0.45">
      <c r="A24" s="6">
        <v>2015</v>
      </c>
      <c r="B24" s="64"/>
      <c r="C24" s="64"/>
      <c r="D24" s="64"/>
      <c r="E24" s="65">
        <v>11.3</v>
      </c>
      <c r="F24" s="65">
        <v>17.2</v>
      </c>
      <c r="G24" s="65">
        <v>24</v>
      </c>
      <c r="H24" s="66"/>
      <c r="I24" s="67"/>
      <c r="J24" s="51"/>
      <c r="K24" s="52"/>
      <c r="L24" s="52"/>
      <c r="M24" s="53">
        <v>22.1</v>
      </c>
      <c r="N24" s="53">
        <v>28.4</v>
      </c>
      <c r="O24" s="53">
        <v>41</v>
      </c>
      <c r="P24" s="54"/>
      <c r="Q24" s="61"/>
      <c r="R24" s="51"/>
      <c r="S24" s="52"/>
      <c r="T24" s="52"/>
      <c r="U24" s="53">
        <v>15.7</v>
      </c>
      <c r="V24" s="53">
        <v>20.8</v>
      </c>
      <c r="W24" s="53">
        <v>25</v>
      </c>
      <c r="X24" s="54"/>
      <c r="Y24" s="63"/>
      <c r="Z24" s="51"/>
      <c r="AA24" s="52"/>
      <c r="AB24" s="52"/>
      <c r="AC24" s="53">
        <v>15.6</v>
      </c>
      <c r="AD24" s="53">
        <v>20.8</v>
      </c>
      <c r="AE24" s="53">
        <v>18</v>
      </c>
      <c r="AF24" s="54"/>
      <c r="AG24" s="63"/>
      <c r="AH24" s="51"/>
      <c r="AI24" s="52"/>
      <c r="AJ24" s="52"/>
      <c r="AK24" s="53" t="s">
        <v>21</v>
      </c>
      <c r="AL24" s="53" t="s">
        <v>21</v>
      </c>
      <c r="AM24" s="53" t="s">
        <v>21</v>
      </c>
      <c r="AN24" s="54"/>
      <c r="AO24" s="55"/>
      <c r="AP24" s="68">
        <v>23611.954206083585</v>
      </c>
      <c r="AQ24" s="68">
        <v>27863.56640457709</v>
      </c>
      <c r="AR24" s="68">
        <v>9.2331855247242896</v>
      </c>
      <c r="AS24" s="68"/>
      <c r="AT24" s="68">
        <v>294208.76790743321</v>
      </c>
      <c r="AU24" s="68"/>
      <c r="AV24" s="68"/>
      <c r="AW24" s="68">
        <v>25520565580.489399</v>
      </c>
      <c r="AX24" s="56">
        <v>7750.4562843327303</v>
      </c>
      <c r="AY24" s="57">
        <v>8349.9942061719867</v>
      </c>
      <c r="AZ24" s="57">
        <v>6.91</v>
      </c>
      <c r="BA24" s="57"/>
      <c r="BB24" s="57">
        <v>10577.863413701649</v>
      </c>
      <c r="BC24" s="57"/>
      <c r="BD24" s="58">
        <v>4.0596104113564602</v>
      </c>
      <c r="BE24" s="57">
        <v>13049620686.068701</v>
      </c>
      <c r="BF24" s="57">
        <v>11686.638409340725</v>
      </c>
      <c r="BG24" s="57">
        <v>16485.431012632962</v>
      </c>
      <c r="BH24" s="57">
        <v>1</v>
      </c>
      <c r="BI24" s="57"/>
      <c r="BJ24" s="57">
        <v>25767.245863782009</v>
      </c>
      <c r="BK24" s="57"/>
      <c r="BL24" s="58">
        <v>3.9666462325535399</v>
      </c>
      <c r="BM24" s="57">
        <v>2487276599.5640502</v>
      </c>
      <c r="BN24" s="56">
        <v>5302.7141006935299</v>
      </c>
      <c r="BO24" s="57">
        <v>7200.0948733755104</v>
      </c>
      <c r="BP24" s="57">
        <v>27.256844940476199</v>
      </c>
      <c r="BQ24" s="57"/>
      <c r="BR24" s="57">
        <v>6549.5562173100188</v>
      </c>
      <c r="BS24" s="57"/>
      <c r="BT24" s="58">
        <v>3.99737996694398</v>
      </c>
      <c r="BU24" s="57">
        <v>2492262791.9388099</v>
      </c>
      <c r="BV24" s="56">
        <v>606.72028483956217</v>
      </c>
      <c r="BW24" s="57">
        <v>602.71018731718164</v>
      </c>
      <c r="BX24" s="57">
        <v>17.5097945851021</v>
      </c>
      <c r="BY24" s="57"/>
      <c r="BZ24" s="57">
        <v>3127.0369820223714</v>
      </c>
      <c r="CA24" s="57"/>
      <c r="CB24" s="58">
        <v>121.738085297504</v>
      </c>
      <c r="CC24" s="59">
        <v>15625329211.522301</v>
      </c>
    </row>
    <row r="25" spans="1:81" ht="15.75" customHeight="1" x14ac:dyDescent="0.45">
      <c r="A25" s="6">
        <v>2016</v>
      </c>
      <c r="B25" s="35"/>
      <c r="C25" s="35"/>
      <c r="D25" s="35"/>
      <c r="E25" s="27">
        <v>11.1</v>
      </c>
      <c r="F25" s="27">
        <v>17.100000000000001</v>
      </c>
      <c r="G25" s="27">
        <v>26</v>
      </c>
      <c r="H25" s="36"/>
      <c r="I25" s="37"/>
      <c r="J25" s="51"/>
      <c r="K25" s="52"/>
      <c r="L25" s="52"/>
      <c r="M25" s="53">
        <v>20.3</v>
      </c>
      <c r="N25" s="53">
        <v>26.6</v>
      </c>
      <c r="O25" s="53">
        <v>35</v>
      </c>
      <c r="P25" s="54"/>
      <c r="Q25" s="61"/>
      <c r="R25" s="51"/>
      <c r="S25" s="52"/>
      <c r="T25" s="52"/>
      <c r="U25" s="53">
        <v>14.6</v>
      </c>
      <c r="V25" s="53">
        <v>19.399999999999999</v>
      </c>
      <c r="W25" s="53">
        <v>24</v>
      </c>
      <c r="X25" s="54"/>
      <c r="Y25" s="63"/>
      <c r="Z25" s="51"/>
      <c r="AA25" s="52"/>
      <c r="AB25" s="52"/>
      <c r="AC25" s="53">
        <v>16.2</v>
      </c>
      <c r="AD25" s="53">
        <v>21.8</v>
      </c>
      <c r="AE25" s="53">
        <v>19</v>
      </c>
      <c r="AF25" s="54"/>
      <c r="AG25" s="63"/>
      <c r="AH25" s="51"/>
      <c r="AI25" s="52"/>
      <c r="AJ25" s="52"/>
      <c r="AK25" s="53" t="s">
        <v>21</v>
      </c>
      <c r="AL25" s="53" t="s">
        <v>21</v>
      </c>
      <c r="AM25" s="53" t="s">
        <v>21</v>
      </c>
      <c r="AN25" s="54"/>
      <c r="AO25" s="55"/>
      <c r="AP25" s="31">
        <v>22890.624317661441</v>
      </c>
      <c r="AQ25" s="31">
        <v>27465.510561327705</v>
      </c>
      <c r="AR25" s="31">
        <v>14.7581750873396</v>
      </c>
      <c r="AS25" s="31"/>
      <c r="AT25" s="31">
        <v>287301.37337278947</v>
      </c>
      <c r="AU25" s="31"/>
      <c r="AV25" s="31"/>
      <c r="AW25" s="31">
        <v>38414518491.613197</v>
      </c>
      <c r="AX25" s="56">
        <v>7962.1998533060842</v>
      </c>
      <c r="AY25" s="57">
        <v>8497.8695370499736</v>
      </c>
      <c r="AZ25" s="57">
        <v>6.91</v>
      </c>
      <c r="BA25" s="57"/>
      <c r="BB25" s="57">
        <v>11226.633720062324</v>
      </c>
      <c r="BC25" s="57"/>
      <c r="BD25" s="58">
        <v>3.6232143176413798</v>
      </c>
      <c r="BE25" s="57">
        <v>10053627485.0797</v>
      </c>
      <c r="BF25" s="57">
        <v>11347.955658367815</v>
      </c>
      <c r="BG25" s="57">
        <v>16095.847030784349</v>
      </c>
      <c r="BH25" s="57">
        <v>1</v>
      </c>
      <c r="BI25" s="57"/>
      <c r="BJ25" s="57">
        <v>26563.582738821162</v>
      </c>
      <c r="BK25" s="57"/>
      <c r="BL25" s="58">
        <v>1.72826463324535</v>
      </c>
      <c r="BM25" s="57">
        <v>4215553160.0567698</v>
      </c>
      <c r="BN25" s="56">
        <v>5473.6752166173283</v>
      </c>
      <c r="BO25" s="57">
        <v>7316.3748323780246</v>
      </c>
      <c r="BP25" s="57">
        <v>28.6209624101587</v>
      </c>
      <c r="BQ25" s="57"/>
      <c r="BR25" s="57">
        <v>7148.7035912289284</v>
      </c>
      <c r="BS25" s="57"/>
      <c r="BT25" s="58">
        <v>3.52317317628476</v>
      </c>
      <c r="BU25" s="57">
        <v>2447771381.8108602</v>
      </c>
      <c r="BV25" s="56">
        <v>507.22087521948413</v>
      </c>
      <c r="BW25" s="57">
        <v>509.01632465572641</v>
      </c>
      <c r="BX25" s="57">
        <v>73.003827946473606</v>
      </c>
      <c r="BY25" s="57"/>
      <c r="BZ25" s="57">
        <v>3417.8440152186668</v>
      </c>
      <c r="CA25" s="57"/>
      <c r="CB25" s="58">
        <v>254.948534781815</v>
      </c>
      <c r="CC25" s="59">
        <v>10150000483.5116</v>
      </c>
    </row>
    <row r="26" spans="1:81" ht="15.75" customHeight="1" x14ac:dyDescent="0.45">
      <c r="A26" s="6">
        <v>2017</v>
      </c>
      <c r="B26" s="35"/>
      <c r="C26" s="35"/>
      <c r="D26" s="35"/>
      <c r="E26" s="27">
        <v>9.8000000000000007</v>
      </c>
      <c r="F26" s="27">
        <v>15.7</v>
      </c>
      <c r="G26" s="27">
        <v>24</v>
      </c>
      <c r="H26" s="36"/>
      <c r="I26" s="37"/>
      <c r="J26" s="51"/>
      <c r="K26" s="52"/>
      <c r="L26" s="52"/>
      <c r="M26" s="53">
        <v>18.3</v>
      </c>
      <c r="N26" s="53">
        <v>24.4</v>
      </c>
      <c r="O26" s="53">
        <v>34</v>
      </c>
      <c r="P26" s="54"/>
      <c r="Q26" s="61"/>
      <c r="R26" s="69"/>
      <c r="S26" s="64"/>
      <c r="T26" s="64"/>
      <c r="U26" s="65">
        <v>14.1</v>
      </c>
      <c r="V26" s="65">
        <v>19.3</v>
      </c>
      <c r="W26" s="65">
        <v>23</v>
      </c>
      <c r="X26" s="66"/>
      <c r="Y26" s="70"/>
      <c r="Z26" s="51"/>
      <c r="AA26" s="52"/>
      <c r="AB26" s="52"/>
      <c r="AC26" s="53">
        <v>16.600000000000001</v>
      </c>
      <c r="AD26" s="53">
        <v>22.3</v>
      </c>
      <c r="AE26" s="53">
        <v>19</v>
      </c>
      <c r="AF26" s="54"/>
      <c r="AG26" s="63"/>
      <c r="AH26" s="51"/>
      <c r="AI26" s="52"/>
      <c r="AJ26" s="52"/>
      <c r="AK26" s="53" t="s">
        <v>21</v>
      </c>
      <c r="AL26" s="53" t="s">
        <v>21</v>
      </c>
      <c r="AM26" s="53" t="s">
        <v>21</v>
      </c>
      <c r="AN26" s="54"/>
      <c r="AO26" s="55"/>
      <c r="AP26" s="31">
        <v>23272.184989737612</v>
      </c>
      <c r="AQ26" s="31">
        <v>27761.42679079733</v>
      </c>
      <c r="AR26" s="31">
        <v>16.5627069251411</v>
      </c>
      <c r="AS26" s="31"/>
      <c r="AT26" s="31">
        <v>227802.94154976681</v>
      </c>
      <c r="AU26" s="31"/>
      <c r="AV26" s="31"/>
      <c r="AW26" s="31">
        <v>55314409205.218903</v>
      </c>
      <c r="AX26" s="56">
        <v>8176.866793592877</v>
      </c>
      <c r="AY26" s="57">
        <v>8654.1929712162546</v>
      </c>
      <c r="AZ26" s="57">
        <v>6.91</v>
      </c>
      <c r="BA26" s="57"/>
      <c r="BB26" s="57">
        <v>11802.575791701907</v>
      </c>
      <c r="BC26" s="57"/>
      <c r="BD26" s="58">
        <v>2.8227580554717</v>
      </c>
      <c r="BE26" s="57">
        <v>10245969449.6731</v>
      </c>
      <c r="BF26" s="68">
        <v>11413.080235509979</v>
      </c>
      <c r="BG26" s="68">
        <v>16008.864762184885</v>
      </c>
      <c r="BH26" s="68">
        <v>1</v>
      </c>
      <c r="BI26" s="68"/>
      <c r="BJ26" s="68">
        <v>28058.449409148889</v>
      </c>
      <c r="BK26" s="68"/>
      <c r="BL26" s="71">
        <v>0.41733558866680298</v>
      </c>
      <c r="BM26" s="68">
        <v>2169697856.6482</v>
      </c>
      <c r="BN26" s="56">
        <v>5654.6305600009773</v>
      </c>
      <c r="BO26" s="57">
        <v>7460.8417361366901</v>
      </c>
      <c r="BP26" s="57">
        <v>30.0509413442878</v>
      </c>
      <c r="BQ26" s="57"/>
      <c r="BR26" s="57">
        <v>7674.8985195747809</v>
      </c>
      <c r="BS26" s="57"/>
      <c r="BT26" s="58">
        <v>3.8506716628472502</v>
      </c>
      <c r="BU26" s="57">
        <v>2757785586.6649799</v>
      </c>
      <c r="BV26" s="56">
        <v>434.26074907693175</v>
      </c>
      <c r="BW26" s="57">
        <v>439.55311495820638</v>
      </c>
      <c r="BX26" s="57">
        <v>607.68822435838001</v>
      </c>
      <c r="BY26" s="57"/>
      <c r="BZ26" s="57">
        <v>2751.2272165080503</v>
      </c>
      <c r="CA26" s="57"/>
      <c r="CB26" s="58"/>
      <c r="CC26" s="59">
        <v>9794062064.6210804</v>
      </c>
    </row>
    <row r="27" spans="1:81" ht="15.75" customHeight="1" x14ac:dyDescent="0.45">
      <c r="A27" s="6">
        <v>2018</v>
      </c>
      <c r="B27" s="35"/>
      <c r="C27" s="35"/>
      <c r="D27" s="35"/>
      <c r="E27" s="27">
        <v>9.1</v>
      </c>
      <c r="F27" s="27">
        <v>14.5</v>
      </c>
      <c r="G27" s="27">
        <v>23</v>
      </c>
      <c r="H27" s="36"/>
      <c r="I27" s="37"/>
      <c r="J27" s="51"/>
      <c r="K27" s="52"/>
      <c r="L27" s="52"/>
      <c r="M27" s="53">
        <v>17.7</v>
      </c>
      <c r="N27" s="53">
        <v>23.7</v>
      </c>
      <c r="O27" s="53">
        <v>12</v>
      </c>
      <c r="P27" s="54"/>
      <c r="Q27" s="61"/>
      <c r="R27" s="38"/>
      <c r="S27" s="35"/>
      <c r="T27" s="35"/>
      <c r="U27" s="27">
        <v>15</v>
      </c>
      <c r="V27" s="27">
        <v>20.100000000000001</v>
      </c>
      <c r="W27" s="27">
        <v>22</v>
      </c>
      <c r="X27" s="36"/>
      <c r="Y27" s="39"/>
      <c r="Z27" s="51"/>
      <c r="AA27" s="52"/>
      <c r="AB27" s="52"/>
      <c r="AC27" s="53">
        <v>15.7</v>
      </c>
      <c r="AD27" s="53">
        <v>21.7</v>
      </c>
      <c r="AE27" s="53">
        <v>20</v>
      </c>
      <c r="AF27" s="54"/>
      <c r="AG27" s="63"/>
      <c r="AH27" s="51"/>
      <c r="AI27" s="52"/>
      <c r="AJ27" s="52"/>
      <c r="AK27" s="53" t="s">
        <v>21</v>
      </c>
      <c r="AL27" s="53" t="s">
        <v>21</v>
      </c>
      <c r="AM27" s="53" t="s">
        <v>21</v>
      </c>
      <c r="AN27" s="54"/>
      <c r="AO27" s="55"/>
      <c r="AP27" s="31">
        <v>22477.700082166491</v>
      </c>
      <c r="AQ27" s="31">
        <v>26936.096778248695</v>
      </c>
      <c r="AR27" s="31">
        <v>28.094991666666701</v>
      </c>
      <c r="AS27" s="31"/>
      <c r="AT27" s="31">
        <v>216377.12480770983</v>
      </c>
      <c r="AU27" s="31"/>
      <c r="AV27" s="31"/>
      <c r="AW27" s="31">
        <v>66221501691.441803</v>
      </c>
      <c r="AX27" s="56">
        <v>8401.9086962886577</v>
      </c>
      <c r="AY27" s="57">
        <v>8801.2568826888473</v>
      </c>
      <c r="AZ27" s="57">
        <v>6.91</v>
      </c>
      <c r="BA27" s="57"/>
      <c r="BB27" s="57">
        <v>12365.037930347025</v>
      </c>
      <c r="BC27" s="57"/>
      <c r="BD27" s="58">
        <v>2.27205987230148</v>
      </c>
      <c r="BE27" s="57">
        <v>8929614182.5361404</v>
      </c>
      <c r="BF27" s="31">
        <v>11357.910515279533</v>
      </c>
      <c r="BG27" s="31">
        <v>15843.31815486911</v>
      </c>
      <c r="BH27" s="31">
        <v>1</v>
      </c>
      <c r="BI27" s="31"/>
      <c r="BJ27" s="31">
        <v>28953.246373300208</v>
      </c>
      <c r="BK27" s="31"/>
      <c r="BL27" s="33">
        <v>-0.224103246005465</v>
      </c>
      <c r="BM27" s="31">
        <v>2158694032.4143</v>
      </c>
      <c r="BN27" s="56">
        <v>5363.4982231075364</v>
      </c>
      <c r="BO27" s="57">
        <v>7200.1195107291869</v>
      </c>
      <c r="BP27" s="57">
        <v>31.5532123338754</v>
      </c>
      <c r="BQ27" s="57"/>
      <c r="BR27" s="57">
        <v>7783.2195188838523</v>
      </c>
      <c r="BS27" s="57"/>
      <c r="BT27" s="58">
        <v>4.94723728039882</v>
      </c>
      <c r="BU27" s="57">
        <v>2261143360.12993</v>
      </c>
      <c r="BV27" s="56">
        <v>355.27980900084947</v>
      </c>
      <c r="BW27" s="57">
        <v>363.90050974280365</v>
      </c>
      <c r="BX27" s="57">
        <v>388549.29344608402</v>
      </c>
      <c r="BY27" s="57"/>
      <c r="BZ27" s="57">
        <v>2159.0286426102684</v>
      </c>
      <c r="CA27" s="57"/>
      <c r="CB27" s="58"/>
      <c r="CC27" s="59"/>
    </row>
    <row r="28" spans="1:81" ht="15.75" customHeight="1" x14ac:dyDescent="0.45">
      <c r="A28" s="6">
        <v>2019</v>
      </c>
      <c r="B28" s="35"/>
      <c r="C28" s="35"/>
      <c r="D28" s="35"/>
      <c r="E28" s="27">
        <v>9.6999999999999993</v>
      </c>
      <c r="F28" s="27">
        <v>14.6</v>
      </c>
      <c r="G28" s="27">
        <v>22</v>
      </c>
      <c r="H28" s="36"/>
      <c r="I28" s="37"/>
      <c r="J28" s="69"/>
      <c r="K28" s="64"/>
      <c r="L28" s="64"/>
      <c r="M28" s="65">
        <v>17.399999999999999</v>
      </c>
      <c r="N28" s="65">
        <v>23.6</v>
      </c>
      <c r="O28" s="65" t="s">
        <v>21</v>
      </c>
      <c r="P28" s="66"/>
      <c r="Q28" s="67"/>
      <c r="R28" s="38"/>
      <c r="S28" s="35"/>
      <c r="T28" s="35"/>
      <c r="U28" s="27">
        <v>14</v>
      </c>
      <c r="V28" s="27">
        <v>19.5</v>
      </c>
      <c r="W28" s="27">
        <v>28</v>
      </c>
      <c r="X28" s="36"/>
      <c r="Y28" s="39"/>
      <c r="Z28" s="51"/>
      <c r="AA28" s="52"/>
      <c r="AB28" s="52"/>
      <c r="AC28" s="53">
        <v>17.5</v>
      </c>
      <c r="AD28" s="53">
        <v>24.1</v>
      </c>
      <c r="AE28" s="53">
        <v>19</v>
      </c>
      <c r="AF28" s="54"/>
      <c r="AG28" s="63"/>
      <c r="AH28" s="51"/>
      <c r="AI28" s="52"/>
      <c r="AJ28" s="52"/>
      <c r="AK28" s="53" t="s">
        <v>21</v>
      </c>
      <c r="AL28" s="53" t="s">
        <v>21</v>
      </c>
      <c r="AM28" s="53" t="s">
        <v>21</v>
      </c>
      <c r="AN28" s="54"/>
      <c r="AO28" s="55"/>
      <c r="AP28" s="31">
        <v>21785.490201499189</v>
      </c>
      <c r="AQ28" s="31">
        <v>25704.775107941521</v>
      </c>
      <c r="AR28" s="31">
        <v>48.147891666666702</v>
      </c>
      <c r="AS28" s="31"/>
      <c r="AT28" s="31">
        <v>218940.36030681431</v>
      </c>
      <c r="AU28" s="31"/>
      <c r="AV28" s="31"/>
      <c r="AW28" s="31">
        <v>44880566052.3703</v>
      </c>
      <c r="AX28" s="72">
        <v>8468.8331932754863</v>
      </c>
      <c r="AY28" s="68">
        <v>8767.5342502662152</v>
      </c>
      <c r="AZ28" s="68">
        <v>6.91</v>
      </c>
      <c r="BA28" s="68"/>
      <c r="BB28" s="68">
        <v>12882.094256136916</v>
      </c>
      <c r="BC28" s="68"/>
      <c r="BD28" s="71">
        <v>1.8395450496903201</v>
      </c>
      <c r="BE28" s="68">
        <v>6455449941.6787996</v>
      </c>
      <c r="BF28" s="31">
        <v>11174.778703821912</v>
      </c>
      <c r="BG28" s="31">
        <v>15701.851019403648</v>
      </c>
      <c r="BH28" s="31">
        <v>1</v>
      </c>
      <c r="BI28" s="31"/>
      <c r="BJ28" s="31">
        <v>28651.719795146026</v>
      </c>
      <c r="BK28" s="31"/>
      <c r="BL28" s="33">
        <v>0.26601251546613602</v>
      </c>
      <c r="BM28" s="31">
        <v>2940235064.0846901</v>
      </c>
      <c r="BN28" s="56">
        <v>5092.4408901334073</v>
      </c>
      <c r="BO28" s="57">
        <v>6912.0171733588495</v>
      </c>
      <c r="BP28" s="57">
        <v>33.121745265283998</v>
      </c>
      <c r="BQ28" s="57"/>
      <c r="BR28" s="57">
        <v>7805.9036446312675</v>
      </c>
      <c r="BS28" s="57"/>
      <c r="BT28" s="58">
        <v>5.3762899084412998</v>
      </c>
      <c r="BU28" s="57">
        <v>2397444668.92872</v>
      </c>
      <c r="BV28" s="56">
        <v>233.93870312125591</v>
      </c>
      <c r="BW28" s="57">
        <v>244.47438392369375</v>
      </c>
      <c r="BX28" s="57">
        <v>76369942.275532097</v>
      </c>
      <c r="BY28" s="57"/>
      <c r="BZ28" s="57">
        <v>1403.4666687914578</v>
      </c>
      <c r="CA28" s="57"/>
      <c r="CB28" s="58"/>
      <c r="CC28" s="59"/>
    </row>
    <row r="29" spans="1:81" ht="15.75" customHeight="1" x14ac:dyDescent="0.45">
      <c r="A29" s="6">
        <v>2020</v>
      </c>
      <c r="B29" s="35"/>
      <c r="C29" s="35"/>
      <c r="D29" s="35"/>
      <c r="E29" s="27" t="s">
        <v>21</v>
      </c>
      <c r="F29" s="27" t="s">
        <v>21</v>
      </c>
      <c r="G29" s="27">
        <v>26</v>
      </c>
      <c r="H29" s="36"/>
      <c r="I29" s="37"/>
      <c r="J29" s="35"/>
      <c r="K29" s="35"/>
      <c r="L29" s="35"/>
      <c r="M29" s="27">
        <v>13.6</v>
      </c>
      <c r="N29" s="27">
        <v>19.600000000000001</v>
      </c>
      <c r="O29" s="27" t="s">
        <v>21</v>
      </c>
      <c r="P29" s="36"/>
      <c r="Q29" s="36"/>
      <c r="R29" s="38"/>
      <c r="S29" s="35"/>
      <c r="T29" s="35"/>
      <c r="U29" s="27">
        <v>13.1</v>
      </c>
      <c r="V29" s="27">
        <v>19</v>
      </c>
      <c r="W29" s="27">
        <v>28</v>
      </c>
      <c r="X29" s="36"/>
      <c r="Y29" s="39"/>
      <c r="Z29" s="51"/>
      <c r="AA29" s="52"/>
      <c r="AB29" s="52"/>
      <c r="AC29" s="53">
        <v>17.2</v>
      </c>
      <c r="AD29" s="53">
        <v>23.8</v>
      </c>
      <c r="AE29" s="53">
        <v>20</v>
      </c>
      <c r="AF29" s="54"/>
      <c r="AG29" s="63"/>
      <c r="AH29" s="51"/>
      <c r="AI29" s="52"/>
      <c r="AJ29" s="52"/>
      <c r="AK29" s="53" t="s">
        <v>21</v>
      </c>
      <c r="AL29" s="53" t="s">
        <v>21</v>
      </c>
      <c r="AM29" s="53" t="s">
        <v>21</v>
      </c>
      <c r="AN29" s="54"/>
      <c r="AO29" s="55"/>
      <c r="AP29" s="31">
        <v>0</v>
      </c>
      <c r="AQ29" s="31"/>
      <c r="AR29" s="31"/>
      <c r="AS29" s="31"/>
      <c r="AT29" s="31"/>
      <c r="AU29" s="31"/>
      <c r="AV29" s="31"/>
      <c r="AW29" s="31">
        <v>39403734630.122803</v>
      </c>
      <c r="AX29" s="41"/>
      <c r="AY29" s="31"/>
      <c r="AZ29" s="31"/>
      <c r="BA29" s="31"/>
      <c r="BB29" s="31"/>
      <c r="BC29" s="31"/>
      <c r="BD29" s="33">
        <v>0.94074215338182299</v>
      </c>
      <c r="BE29" s="31">
        <v>5247234668.7963495</v>
      </c>
      <c r="BF29" s="31"/>
      <c r="BG29" s="31"/>
      <c r="BH29" s="31"/>
      <c r="BI29" s="31"/>
      <c r="BJ29" s="31"/>
      <c r="BK29" s="31"/>
      <c r="BL29" s="33">
        <v>-0.33887239256227403</v>
      </c>
      <c r="BM29" s="31">
        <v>6569460538.8840504</v>
      </c>
      <c r="BN29" s="56"/>
      <c r="BO29" s="57"/>
      <c r="BP29" s="57"/>
      <c r="BQ29" s="57"/>
      <c r="BR29" s="57"/>
      <c r="BS29" s="57"/>
      <c r="BT29" s="58">
        <v>3.6818134162557299</v>
      </c>
      <c r="BU29" s="57">
        <v>3211903361.95717</v>
      </c>
      <c r="BV29" s="56"/>
      <c r="BW29" s="57"/>
      <c r="BX29" s="57"/>
      <c r="BY29" s="57"/>
      <c r="BZ29" s="57"/>
      <c r="CA29" s="57"/>
      <c r="CB29" s="58"/>
      <c r="CC29" s="59"/>
    </row>
    <row r="30" spans="1:81" ht="15.75" customHeight="1" x14ac:dyDescent="0.45">
      <c r="A30" s="8">
        <v>2021</v>
      </c>
      <c r="B30" s="73"/>
      <c r="C30" s="73"/>
      <c r="D30" s="73"/>
      <c r="E30" s="74" t="s">
        <v>21</v>
      </c>
      <c r="F30" s="74" t="s">
        <v>21</v>
      </c>
      <c r="G30" s="74" t="s">
        <v>21</v>
      </c>
      <c r="H30" s="75"/>
      <c r="I30" s="76"/>
      <c r="J30" s="73"/>
      <c r="K30" s="73"/>
      <c r="L30" s="73"/>
      <c r="M30" s="74" t="s">
        <v>21</v>
      </c>
      <c r="N30" s="74" t="s">
        <v>21</v>
      </c>
      <c r="O30" s="74" t="s">
        <v>21</v>
      </c>
      <c r="P30" s="75"/>
      <c r="Q30" s="75"/>
      <c r="R30" s="77"/>
      <c r="S30" s="73"/>
      <c r="T30" s="73"/>
      <c r="U30" s="74" t="s">
        <v>21</v>
      </c>
      <c r="V30" s="74" t="s">
        <v>21</v>
      </c>
      <c r="W30" s="74" t="s">
        <v>21</v>
      </c>
      <c r="X30" s="75"/>
      <c r="Y30" s="78"/>
      <c r="Z30" s="79"/>
      <c r="AA30" s="80"/>
      <c r="AB30" s="80"/>
      <c r="AC30" s="81" t="s">
        <v>21</v>
      </c>
      <c r="AD30" s="81" t="s">
        <v>21</v>
      </c>
      <c r="AE30" s="81" t="s">
        <v>21</v>
      </c>
      <c r="AF30" s="82"/>
      <c r="AG30" s="83"/>
      <c r="AH30" s="79"/>
      <c r="AI30" s="80"/>
      <c r="AJ30" s="80"/>
      <c r="AK30" s="81" t="s">
        <v>21</v>
      </c>
      <c r="AL30" s="81" t="s">
        <v>21</v>
      </c>
      <c r="AM30" s="81" t="s">
        <v>21</v>
      </c>
      <c r="AN30" s="82"/>
      <c r="AO30" s="84"/>
      <c r="AP30" s="85">
        <v>0</v>
      </c>
      <c r="AQ30" s="85"/>
      <c r="AR30" s="85"/>
      <c r="AS30" s="85"/>
      <c r="AT30" s="85"/>
      <c r="AU30" s="85"/>
      <c r="AV30" s="85"/>
      <c r="AW30" s="85"/>
      <c r="AX30" s="86"/>
      <c r="AY30" s="85"/>
      <c r="AZ30" s="85"/>
      <c r="BA30" s="85"/>
      <c r="BB30" s="85"/>
      <c r="BC30" s="85"/>
      <c r="BD30" s="87"/>
      <c r="BE30" s="85"/>
      <c r="BF30" s="85"/>
      <c r="BG30" s="85"/>
      <c r="BH30" s="85"/>
      <c r="BI30" s="85"/>
      <c r="BJ30" s="85"/>
      <c r="BK30" s="85"/>
      <c r="BL30" s="87"/>
      <c r="BM30" s="85"/>
      <c r="BN30" s="88"/>
      <c r="BO30" s="89"/>
      <c r="BP30" s="89"/>
      <c r="BQ30" s="89"/>
      <c r="BR30" s="89"/>
      <c r="BS30" s="89"/>
      <c r="BT30" s="90"/>
      <c r="BU30" s="89"/>
      <c r="BV30" s="88"/>
      <c r="BW30" s="89"/>
      <c r="BX30" s="89"/>
      <c r="BY30" s="89"/>
      <c r="BZ30" s="89"/>
      <c r="CA30" s="89"/>
      <c r="CB30" s="90"/>
      <c r="CC30" s="91"/>
    </row>
    <row r="31" spans="1:81" ht="15.75" customHeight="1" x14ac:dyDescent="0.45">
      <c r="A31" s="92"/>
      <c r="BD31" s="93"/>
    </row>
    <row r="32" spans="1:81" ht="15.75" customHeight="1" x14ac:dyDescent="0.45">
      <c r="A32" s="92"/>
      <c r="BD32" s="93"/>
    </row>
    <row r="33" spans="1:76" ht="15.75" customHeight="1" x14ac:dyDescent="0.45">
      <c r="A33" s="92"/>
      <c r="BD33" s="93"/>
    </row>
    <row r="34" spans="1:76" ht="15.75" customHeight="1" x14ac:dyDescent="0.45">
      <c r="A34" s="92"/>
    </row>
    <row r="35" spans="1:76" ht="15.75" customHeight="1" x14ac:dyDescent="0.45">
      <c r="A35" s="92"/>
    </row>
    <row r="36" spans="1:76" ht="15.75" customHeight="1" x14ac:dyDescent="0.45">
      <c r="A36" s="92"/>
    </row>
    <row r="37" spans="1:76" ht="15.75" customHeight="1" x14ac:dyDescent="0.45">
      <c r="A37" s="92"/>
    </row>
    <row r="38" spans="1:76" ht="15.75" customHeight="1" x14ac:dyDescent="0.45">
      <c r="A38" s="92"/>
      <c r="BU38" s="93"/>
      <c r="BV38" s="93"/>
      <c r="BW38" s="93"/>
      <c r="BX38" s="93"/>
    </row>
    <row r="39" spans="1:76" ht="15.75" customHeight="1" x14ac:dyDescent="0.45">
      <c r="A39" s="92"/>
      <c r="BU39" s="93"/>
      <c r="BV39" s="93"/>
      <c r="BW39" s="93"/>
      <c r="BX39" s="93"/>
    </row>
    <row r="40" spans="1:76" ht="15.75" customHeight="1" x14ac:dyDescent="0.45">
      <c r="A40" s="92"/>
      <c r="BU40" s="93"/>
      <c r="BV40" s="93"/>
      <c r="BW40" s="93"/>
      <c r="BX40" s="93"/>
    </row>
    <row r="41" spans="1:76" ht="15.75" customHeight="1" x14ac:dyDescent="0.45">
      <c r="A41" s="92"/>
      <c r="BU41" s="93"/>
      <c r="BV41" s="93"/>
      <c r="BW41" s="93"/>
      <c r="BX41" s="93"/>
    </row>
    <row r="42" spans="1:76" ht="15.75" customHeight="1" x14ac:dyDescent="0.45">
      <c r="A42" s="92"/>
      <c r="BU42" s="93"/>
      <c r="BV42" s="93"/>
      <c r="BW42" s="93"/>
      <c r="BX42" s="93"/>
    </row>
    <row r="43" spans="1:76" ht="15.75" customHeight="1" x14ac:dyDescent="0.45">
      <c r="A43" s="92"/>
    </row>
    <row r="44" spans="1:76" ht="15.75" customHeight="1" x14ac:dyDescent="0.45">
      <c r="A44" s="92"/>
    </row>
    <row r="45" spans="1:76" ht="15.75" customHeight="1" x14ac:dyDescent="0.45">
      <c r="A45" s="92"/>
    </row>
    <row r="46" spans="1:76" ht="15.75" customHeight="1" x14ac:dyDescent="0.45">
      <c r="A46" s="92"/>
    </row>
    <row r="47" spans="1:76" ht="15.75" customHeight="1" x14ac:dyDescent="0.45">
      <c r="A47" s="92"/>
    </row>
    <row r="48" spans="1:76" ht="15.75" customHeight="1" x14ac:dyDescent="0.45">
      <c r="A48" s="92"/>
    </row>
    <row r="49" spans="1:1" ht="15.75" customHeight="1" x14ac:dyDescent="0.45">
      <c r="A49" s="92"/>
    </row>
    <row r="50" spans="1:1" ht="15.75" customHeight="1" x14ac:dyDescent="0.45">
      <c r="A50" s="92"/>
    </row>
    <row r="51" spans="1:1" ht="15.75" customHeight="1" x14ac:dyDescent="0.45">
      <c r="A51" s="92"/>
    </row>
    <row r="52" spans="1:1" ht="15.75" customHeight="1" x14ac:dyDescent="0.45">
      <c r="A52" s="92"/>
    </row>
    <row r="53" spans="1:1" ht="15.75" customHeight="1" x14ac:dyDescent="0.45">
      <c r="A53" s="92"/>
    </row>
    <row r="54" spans="1:1" ht="15.75" customHeight="1" x14ac:dyDescent="0.45">
      <c r="A54" s="92"/>
    </row>
    <row r="55" spans="1:1" ht="15.75" customHeight="1" x14ac:dyDescent="0.45">
      <c r="A55" s="92"/>
    </row>
    <row r="56" spans="1:1" ht="15.75" customHeight="1" x14ac:dyDescent="0.45">
      <c r="A56" s="92"/>
    </row>
    <row r="57" spans="1:1" ht="15.75" customHeight="1" x14ac:dyDescent="0.45">
      <c r="A57" s="92"/>
    </row>
    <row r="58" spans="1:1" ht="15.75" customHeight="1" x14ac:dyDescent="0.45">
      <c r="A58" s="92"/>
    </row>
    <row r="59" spans="1:1" ht="15.75" customHeight="1" x14ac:dyDescent="0.45">
      <c r="A59" s="92"/>
    </row>
    <row r="60" spans="1:1" ht="15.75" customHeight="1" x14ac:dyDescent="0.45">
      <c r="A60" s="92"/>
    </row>
    <row r="61" spans="1:1" ht="15.75" customHeight="1" x14ac:dyDescent="0.45">
      <c r="A61" s="92"/>
    </row>
    <row r="62" spans="1:1" ht="15.75" customHeight="1" x14ac:dyDescent="0.45">
      <c r="A62" s="92"/>
    </row>
    <row r="63" spans="1:1" ht="15.75" customHeight="1" x14ac:dyDescent="0.45">
      <c r="A63" s="92"/>
    </row>
    <row r="64" spans="1:1" ht="15.75" customHeight="1" x14ac:dyDescent="0.45">
      <c r="A64" s="92"/>
    </row>
    <row r="65" spans="1:1" ht="15.75" customHeight="1" x14ac:dyDescent="0.45">
      <c r="A65" s="92"/>
    </row>
    <row r="66" spans="1:1" ht="15.75" customHeight="1" x14ac:dyDescent="0.45">
      <c r="A66" s="92"/>
    </row>
    <row r="67" spans="1:1" ht="15.75" customHeight="1" x14ac:dyDescent="0.45">
      <c r="A67" s="92"/>
    </row>
    <row r="68" spans="1:1" ht="15.75" customHeight="1" x14ac:dyDescent="0.45">
      <c r="A68" s="92"/>
    </row>
    <row r="69" spans="1:1" ht="15.75" customHeight="1" x14ac:dyDescent="0.45">
      <c r="A69" s="92"/>
    </row>
    <row r="70" spans="1:1" ht="15.75" customHeight="1" x14ac:dyDescent="0.45">
      <c r="A70" s="92"/>
    </row>
    <row r="71" spans="1:1" ht="15.75" customHeight="1" x14ac:dyDescent="0.45">
      <c r="A71" s="92"/>
    </row>
    <row r="72" spans="1:1" ht="15.75" customHeight="1" x14ac:dyDescent="0.45">
      <c r="A72" s="92"/>
    </row>
    <row r="73" spans="1:1" ht="15.75" customHeight="1" x14ac:dyDescent="0.45">
      <c r="A73" s="92"/>
    </row>
    <row r="74" spans="1:1" ht="15.75" customHeight="1" x14ac:dyDescent="0.45">
      <c r="A74" s="92"/>
    </row>
    <row r="75" spans="1:1" ht="15.75" customHeight="1" x14ac:dyDescent="0.45">
      <c r="A75" s="92"/>
    </row>
    <row r="76" spans="1:1" ht="15.75" customHeight="1" x14ac:dyDescent="0.45">
      <c r="A76" s="92"/>
    </row>
    <row r="77" spans="1:1" ht="15.75" customHeight="1" x14ac:dyDescent="0.45">
      <c r="A77" s="92"/>
    </row>
    <row r="78" spans="1:1" ht="15.75" customHeight="1" x14ac:dyDescent="0.45">
      <c r="A78" s="92"/>
    </row>
    <row r="79" spans="1:1" ht="15.75" customHeight="1" x14ac:dyDescent="0.45">
      <c r="A79" s="92"/>
    </row>
    <row r="80" spans="1:1" ht="15.75" customHeight="1" x14ac:dyDescent="0.45">
      <c r="A80" s="92"/>
    </row>
    <row r="81" spans="1:1" ht="15.75" customHeight="1" x14ac:dyDescent="0.45">
      <c r="A81" s="92"/>
    </row>
    <row r="82" spans="1:1" ht="15.75" customHeight="1" x14ac:dyDescent="0.45">
      <c r="A82" s="92"/>
    </row>
    <row r="83" spans="1:1" ht="15.75" customHeight="1" x14ac:dyDescent="0.45">
      <c r="A83" s="92"/>
    </row>
    <row r="84" spans="1:1" ht="15.75" customHeight="1" x14ac:dyDescent="0.45">
      <c r="A84" s="92"/>
    </row>
    <row r="85" spans="1:1" ht="15.75" customHeight="1" x14ac:dyDescent="0.45">
      <c r="A85" s="92"/>
    </row>
    <row r="86" spans="1:1" ht="15.75" customHeight="1" x14ac:dyDescent="0.45">
      <c r="A86" s="92"/>
    </row>
    <row r="87" spans="1:1" ht="15.75" customHeight="1" x14ac:dyDescent="0.45">
      <c r="A87" s="92"/>
    </row>
    <row r="88" spans="1:1" ht="15.75" customHeight="1" x14ac:dyDescent="0.45">
      <c r="A88" s="92"/>
    </row>
    <row r="89" spans="1:1" ht="15.75" customHeight="1" x14ac:dyDescent="0.45">
      <c r="A89" s="92"/>
    </row>
    <row r="90" spans="1:1" ht="15.75" customHeight="1" x14ac:dyDescent="0.45">
      <c r="A90" s="92"/>
    </row>
    <row r="91" spans="1:1" ht="15.75" customHeight="1" x14ac:dyDescent="0.45">
      <c r="A91" s="92"/>
    </row>
    <row r="92" spans="1:1" ht="15.75" customHeight="1" x14ac:dyDescent="0.45">
      <c r="A92" s="92"/>
    </row>
    <row r="93" spans="1:1" ht="15.75" customHeight="1" x14ac:dyDescent="0.45">
      <c r="A93" s="92"/>
    </row>
    <row r="94" spans="1:1" ht="15.75" customHeight="1" x14ac:dyDescent="0.45">
      <c r="A94" s="92"/>
    </row>
    <row r="95" spans="1:1" ht="15.75" customHeight="1" x14ac:dyDescent="0.45">
      <c r="A95" s="92"/>
    </row>
    <row r="96" spans="1:1" ht="15.75" customHeight="1" x14ac:dyDescent="0.45">
      <c r="A96" s="92"/>
    </row>
    <row r="97" spans="1:1" ht="15.75" customHeight="1" x14ac:dyDescent="0.45">
      <c r="A97" s="92"/>
    </row>
    <row r="98" spans="1:1" ht="15.75" customHeight="1" x14ac:dyDescent="0.45">
      <c r="A98" s="92"/>
    </row>
    <row r="99" spans="1:1" ht="15.75" customHeight="1" x14ac:dyDescent="0.45">
      <c r="A99" s="92"/>
    </row>
    <row r="100" spans="1:1" ht="15.75" customHeight="1" x14ac:dyDescent="0.45">
      <c r="A100" s="92"/>
    </row>
    <row r="101" spans="1:1" ht="15.75" customHeight="1" x14ac:dyDescent="0.45">
      <c r="A101" s="92"/>
    </row>
    <row r="102" spans="1:1" ht="15.75" customHeight="1" x14ac:dyDescent="0.45">
      <c r="A102" s="92"/>
    </row>
    <row r="103" spans="1:1" ht="15.75" customHeight="1" x14ac:dyDescent="0.45">
      <c r="A103" s="92"/>
    </row>
    <row r="104" spans="1:1" ht="15.75" customHeight="1" x14ac:dyDescent="0.45">
      <c r="A104" s="92"/>
    </row>
    <row r="105" spans="1:1" ht="15.75" customHeight="1" x14ac:dyDescent="0.45">
      <c r="A105" s="92"/>
    </row>
    <row r="106" spans="1:1" ht="15.75" customHeight="1" x14ac:dyDescent="0.45">
      <c r="A106" s="92"/>
    </row>
    <row r="107" spans="1:1" ht="15.75" customHeight="1" x14ac:dyDescent="0.45">
      <c r="A107" s="92"/>
    </row>
    <row r="108" spans="1:1" ht="15.75" customHeight="1" x14ac:dyDescent="0.45">
      <c r="A108" s="92"/>
    </row>
    <row r="109" spans="1:1" ht="15.75" customHeight="1" x14ac:dyDescent="0.45">
      <c r="A109" s="92"/>
    </row>
    <row r="110" spans="1:1" ht="15.75" customHeight="1" x14ac:dyDescent="0.45">
      <c r="A110" s="92"/>
    </row>
    <row r="111" spans="1:1" ht="15.75" customHeight="1" x14ac:dyDescent="0.45">
      <c r="A111" s="92"/>
    </row>
    <row r="112" spans="1:1" ht="15.75" customHeight="1" x14ac:dyDescent="0.45">
      <c r="A112" s="92"/>
    </row>
    <row r="113" spans="1:1" ht="15.75" customHeight="1" x14ac:dyDescent="0.45">
      <c r="A113" s="92"/>
    </row>
    <row r="114" spans="1:1" ht="15.75" customHeight="1" x14ac:dyDescent="0.45">
      <c r="A114" s="92"/>
    </row>
    <row r="115" spans="1:1" ht="15.75" customHeight="1" x14ac:dyDescent="0.45">
      <c r="A115" s="92"/>
    </row>
    <row r="116" spans="1:1" ht="15.75" customHeight="1" x14ac:dyDescent="0.45">
      <c r="A116" s="92"/>
    </row>
    <row r="117" spans="1:1" ht="15.75" customHeight="1" x14ac:dyDescent="0.45">
      <c r="A117" s="92"/>
    </row>
    <row r="118" spans="1:1" ht="15.75" customHeight="1" x14ac:dyDescent="0.45">
      <c r="A118" s="92"/>
    </row>
    <row r="119" spans="1:1" ht="15.75" customHeight="1" x14ac:dyDescent="0.45">
      <c r="A119" s="92"/>
    </row>
    <row r="120" spans="1:1" ht="15.75" customHeight="1" x14ac:dyDescent="0.45">
      <c r="A120" s="92"/>
    </row>
    <row r="121" spans="1:1" ht="15.75" customHeight="1" x14ac:dyDescent="0.45">
      <c r="A121" s="92"/>
    </row>
    <row r="122" spans="1:1" ht="15.75" customHeight="1" x14ac:dyDescent="0.45">
      <c r="A122" s="92"/>
    </row>
    <row r="123" spans="1:1" ht="15.75" customHeight="1" x14ac:dyDescent="0.45">
      <c r="A123" s="92"/>
    </row>
    <row r="124" spans="1:1" ht="15.75" customHeight="1" x14ac:dyDescent="0.45">
      <c r="A124" s="92"/>
    </row>
    <row r="125" spans="1:1" ht="15.75" customHeight="1" x14ac:dyDescent="0.45">
      <c r="A125" s="92"/>
    </row>
    <row r="126" spans="1:1" ht="15.75" customHeight="1" x14ac:dyDescent="0.45">
      <c r="A126" s="92"/>
    </row>
    <row r="127" spans="1:1" ht="15.75" customHeight="1" x14ac:dyDescent="0.45">
      <c r="A127" s="92"/>
    </row>
    <row r="128" spans="1:1" ht="15.75" customHeight="1" x14ac:dyDescent="0.45">
      <c r="A128" s="92"/>
    </row>
    <row r="129" spans="1:1" ht="15.75" customHeight="1" x14ac:dyDescent="0.45">
      <c r="A129" s="92"/>
    </row>
    <row r="130" spans="1:1" ht="15.75" customHeight="1" x14ac:dyDescent="0.45">
      <c r="A130" s="92"/>
    </row>
    <row r="131" spans="1:1" ht="15.75" customHeight="1" x14ac:dyDescent="0.45">
      <c r="A131" s="92"/>
    </row>
    <row r="132" spans="1:1" ht="15.75" customHeight="1" x14ac:dyDescent="0.45">
      <c r="A132" s="92"/>
    </row>
    <row r="133" spans="1:1" ht="15.75" customHeight="1" x14ac:dyDescent="0.45">
      <c r="A133" s="92"/>
    </row>
    <row r="134" spans="1:1" ht="15.75" customHeight="1" x14ac:dyDescent="0.45">
      <c r="A134" s="92"/>
    </row>
    <row r="135" spans="1:1" ht="15.75" customHeight="1" x14ac:dyDescent="0.45">
      <c r="A135" s="92"/>
    </row>
    <row r="136" spans="1:1" ht="15.75" customHeight="1" x14ac:dyDescent="0.45">
      <c r="A136" s="92"/>
    </row>
    <row r="137" spans="1:1" ht="15.75" customHeight="1" x14ac:dyDescent="0.45">
      <c r="A137" s="92"/>
    </row>
    <row r="138" spans="1:1" ht="15.75" customHeight="1" x14ac:dyDescent="0.45">
      <c r="A138" s="92"/>
    </row>
    <row r="139" spans="1:1" ht="15.75" customHeight="1" x14ac:dyDescent="0.45">
      <c r="A139" s="92"/>
    </row>
    <row r="140" spans="1:1" ht="15.75" customHeight="1" x14ac:dyDescent="0.45">
      <c r="A140" s="92"/>
    </row>
    <row r="141" spans="1:1" ht="15.75" customHeight="1" x14ac:dyDescent="0.45">
      <c r="A141" s="92"/>
    </row>
    <row r="142" spans="1:1" ht="15.75" customHeight="1" x14ac:dyDescent="0.45">
      <c r="A142" s="92"/>
    </row>
    <row r="143" spans="1:1" ht="15.75" customHeight="1" x14ac:dyDescent="0.45">
      <c r="A143" s="92"/>
    </row>
    <row r="144" spans="1:1" ht="15.75" customHeight="1" x14ac:dyDescent="0.45">
      <c r="A144" s="92"/>
    </row>
    <row r="145" spans="1:1" ht="15.75" customHeight="1" x14ac:dyDescent="0.45">
      <c r="A145" s="92"/>
    </row>
    <row r="146" spans="1:1" ht="15.75" customHeight="1" x14ac:dyDescent="0.45">
      <c r="A146" s="92"/>
    </row>
    <row r="147" spans="1:1" ht="15.75" customHeight="1" x14ac:dyDescent="0.45">
      <c r="A147" s="92"/>
    </row>
    <row r="148" spans="1:1" ht="15.75" customHeight="1" x14ac:dyDescent="0.45">
      <c r="A148" s="92"/>
    </row>
    <row r="149" spans="1:1" ht="15.75" customHeight="1" x14ac:dyDescent="0.45">
      <c r="A149" s="92"/>
    </row>
    <row r="150" spans="1:1" ht="15.75" customHeight="1" x14ac:dyDescent="0.45">
      <c r="A150" s="92"/>
    </row>
    <row r="151" spans="1:1" ht="15.75" customHeight="1" x14ac:dyDescent="0.45">
      <c r="A151" s="92"/>
    </row>
    <row r="152" spans="1:1" ht="15.75" customHeight="1" x14ac:dyDescent="0.45">
      <c r="A152" s="92"/>
    </row>
    <row r="153" spans="1:1" ht="15.75" customHeight="1" x14ac:dyDescent="0.45">
      <c r="A153" s="92"/>
    </row>
    <row r="154" spans="1:1" ht="15.75" customHeight="1" x14ac:dyDescent="0.45">
      <c r="A154" s="92"/>
    </row>
    <row r="155" spans="1:1" ht="15.75" customHeight="1" x14ac:dyDescent="0.45">
      <c r="A155" s="92"/>
    </row>
    <row r="156" spans="1:1" ht="15.75" customHeight="1" x14ac:dyDescent="0.45">
      <c r="A156" s="92"/>
    </row>
    <row r="157" spans="1:1" ht="15.75" customHeight="1" x14ac:dyDescent="0.45">
      <c r="A157" s="92"/>
    </row>
    <row r="158" spans="1:1" ht="15.75" customHeight="1" x14ac:dyDescent="0.45">
      <c r="A158" s="92"/>
    </row>
    <row r="159" spans="1:1" ht="15.75" customHeight="1" x14ac:dyDescent="0.45">
      <c r="A159" s="92"/>
    </row>
    <row r="160" spans="1:1" ht="15.75" customHeight="1" x14ac:dyDescent="0.45">
      <c r="A160" s="92"/>
    </row>
    <row r="161" spans="1:1" ht="15.75" customHeight="1" x14ac:dyDescent="0.45">
      <c r="A161" s="92"/>
    </row>
    <row r="162" spans="1:1" ht="15.75" customHeight="1" x14ac:dyDescent="0.45">
      <c r="A162" s="92"/>
    </row>
    <row r="163" spans="1:1" ht="15.75" customHeight="1" x14ac:dyDescent="0.45">
      <c r="A163" s="92"/>
    </row>
    <row r="164" spans="1:1" ht="15.75" customHeight="1" x14ac:dyDescent="0.45">
      <c r="A164" s="92"/>
    </row>
    <row r="165" spans="1:1" ht="15.75" customHeight="1" x14ac:dyDescent="0.45">
      <c r="A165" s="92"/>
    </row>
    <row r="166" spans="1:1" ht="15.75" customHeight="1" x14ac:dyDescent="0.45">
      <c r="A166" s="92"/>
    </row>
    <row r="167" spans="1:1" ht="15.75" customHeight="1" x14ac:dyDescent="0.45">
      <c r="A167" s="92"/>
    </row>
    <row r="168" spans="1:1" ht="15.75" customHeight="1" x14ac:dyDescent="0.45">
      <c r="A168" s="92"/>
    </row>
    <row r="169" spans="1:1" ht="15.75" customHeight="1" x14ac:dyDescent="0.45">
      <c r="A169" s="92"/>
    </row>
    <row r="170" spans="1:1" ht="15.75" customHeight="1" x14ac:dyDescent="0.45">
      <c r="A170" s="92"/>
    </row>
    <row r="171" spans="1:1" ht="15.75" customHeight="1" x14ac:dyDescent="0.45">
      <c r="A171" s="92"/>
    </row>
    <row r="172" spans="1:1" ht="15.75" customHeight="1" x14ac:dyDescent="0.45">
      <c r="A172" s="92"/>
    </row>
    <row r="173" spans="1:1" ht="15.75" customHeight="1" x14ac:dyDescent="0.45">
      <c r="A173" s="92"/>
    </row>
    <row r="174" spans="1:1" ht="15.75" customHeight="1" x14ac:dyDescent="0.45">
      <c r="A174" s="92"/>
    </row>
    <row r="175" spans="1:1" ht="15.75" customHeight="1" x14ac:dyDescent="0.45">
      <c r="A175" s="92"/>
    </row>
    <row r="176" spans="1:1" ht="15.75" customHeight="1" x14ac:dyDescent="0.45">
      <c r="A176" s="92"/>
    </row>
    <row r="177" spans="1:1" ht="15.75" customHeight="1" x14ac:dyDescent="0.45">
      <c r="A177" s="92"/>
    </row>
    <row r="178" spans="1:1" ht="15.75" customHeight="1" x14ac:dyDescent="0.45">
      <c r="A178" s="92"/>
    </row>
    <row r="179" spans="1:1" ht="15.75" customHeight="1" x14ac:dyDescent="0.45">
      <c r="A179" s="92"/>
    </row>
    <row r="180" spans="1:1" ht="15.75" customHeight="1" x14ac:dyDescent="0.45">
      <c r="A180" s="92"/>
    </row>
    <row r="181" spans="1:1" ht="15.75" customHeight="1" x14ac:dyDescent="0.45">
      <c r="A181" s="92"/>
    </row>
    <row r="182" spans="1:1" ht="15.75" customHeight="1" x14ac:dyDescent="0.45">
      <c r="A182" s="92"/>
    </row>
    <row r="183" spans="1:1" ht="15.75" customHeight="1" x14ac:dyDescent="0.45">
      <c r="A183" s="92"/>
    </row>
    <row r="184" spans="1:1" ht="15.75" customHeight="1" x14ac:dyDescent="0.45">
      <c r="A184" s="92"/>
    </row>
    <row r="185" spans="1:1" ht="15.75" customHeight="1" x14ac:dyDescent="0.45">
      <c r="A185" s="92"/>
    </row>
    <row r="186" spans="1:1" ht="15.75" customHeight="1" x14ac:dyDescent="0.45">
      <c r="A186" s="92"/>
    </row>
    <row r="187" spans="1:1" ht="15.75" customHeight="1" x14ac:dyDescent="0.45">
      <c r="A187" s="92"/>
    </row>
    <row r="188" spans="1:1" ht="15.75" customHeight="1" x14ac:dyDescent="0.45">
      <c r="A188" s="92"/>
    </row>
    <row r="189" spans="1:1" ht="15.75" customHeight="1" x14ac:dyDescent="0.45">
      <c r="A189" s="92"/>
    </row>
    <row r="190" spans="1:1" ht="15.75" customHeight="1" x14ac:dyDescent="0.45">
      <c r="A190" s="92"/>
    </row>
    <row r="191" spans="1:1" ht="15.75" customHeight="1" x14ac:dyDescent="0.45">
      <c r="A191" s="92"/>
    </row>
    <row r="192" spans="1:1" ht="15.75" customHeight="1" x14ac:dyDescent="0.45">
      <c r="A192" s="92"/>
    </row>
    <row r="193" spans="1:1" ht="15.75" customHeight="1" x14ac:dyDescent="0.45">
      <c r="A193" s="92"/>
    </row>
    <row r="194" spans="1:1" ht="15.75" customHeight="1" x14ac:dyDescent="0.45">
      <c r="A194" s="92"/>
    </row>
    <row r="195" spans="1:1" ht="15.75" customHeight="1" x14ac:dyDescent="0.45">
      <c r="A195" s="92"/>
    </row>
    <row r="196" spans="1:1" ht="15.75" customHeight="1" x14ac:dyDescent="0.45">
      <c r="A196" s="92"/>
    </row>
    <row r="197" spans="1:1" ht="15.75" customHeight="1" x14ac:dyDescent="0.45">
      <c r="A197" s="92"/>
    </row>
    <row r="198" spans="1:1" ht="15.75" customHeight="1" x14ac:dyDescent="0.45">
      <c r="A198" s="92"/>
    </row>
    <row r="199" spans="1:1" ht="15.75" customHeight="1" x14ac:dyDescent="0.45">
      <c r="A199" s="92"/>
    </row>
    <row r="200" spans="1:1" ht="15.75" customHeight="1" x14ac:dyDescent="0.45">
      <c r="A200" s="92"/>
    </row>
    <row r="201" spans="1:1" ht="15.75" customHeight="1" x14ac:dyDescent="0.45">
      <c r="A201" s="92"/>
    </row>
    <row r="202" spans="1:1" ht="15.75" customHeight="1" x14ac:dyDescent="0.45">
      <c r="A202" s="92"/>
    </row>
    <row r="203" spans="1:1" ht="15.75" customHeight="1" x14ac:dyDescent="0.45">
      <c r="A203" s="92"/>
    </row>
    <row r="204" spans="1:1" ht="15.75" customHeight="1" x14ac:dyDescent="0.45">
      <c r="A204" s="92"/>
    </row>
    <row r="205" spans="1:1" ht="15.75" customHeight="1" x14ac:dyDescent="0.45">
      <c r="A205" s="92"/>
    </row>
    <row r="206" spans="1:1" ht="15.75" customHeight="1" x14ac:dyDescent="0.45">
      <c r="A206" s="92"/>
    </row>
    <row r="207" spans="1:1" ht="15.75" customHeight="1" x14ac:dyDescent="0.45">
      <c r="A207" s="92"/>
    </row>
    <row r="208" spans="1:1" ht="15.75" customHeight="1" x14ac:dyDescent="0.45">
      <c r="A208" s="92"/>
    </row>
    <row r="209" spans="1:1" ht="15.75" customHeight="1" x14ac:dyDescent="0.45">
      <c r="A209" s="92"/>
    </row>
    <row r="210" spans="1:1" ht="15.75" customHeight="1" x14ac:dyDescent="0.45">
      <c r="A210" s="92"/>
    </row>
    <row r="211" spans="1:1" ht="15.75" customHeight="1" x14ac:dyDescent="0.45">
      <c r="A211" s="92"/>
    </row>
    <row r="212" spans="1:1" ht="15.75" customHeight="1" x14ac:dyDescent="0.45">
      <c r="A212" s="92"/>
    </row>
    <row r="213" spans="1:1" ht="15.75" customHeight="1" x14ac:dyDescent="0.45">
      <c r="A213" s="92"/>
    </row>
    <row r="214" spans="1:1" ht="15.75" customHeight="1" x14ac:dyDescent="0.45">
      <c r="A214" s="92"/>
    </row>
    <row r="215" spans="1:1" ht="15.75" customHeight="1" x14ac:dyDescent="0.45">
      <c r="A215" s="92"/>
    </row>
    <row r="216" spans="1:1" ht="15.75" customHeight="1" x14ac:dyDescent="0.45">
      <c r="A216" s="92"/>
    </row>
    <row r="217" spans="1:1" ht="15.75" customHeight="1" x14ac:dyDescent="0.45">
      <c r="A217" s="92"/>
    </row>
    <row r="218" spans="1:1" ht="15.75" customHeight="1" x14ac:dyDescent="0.45">
      <c r="A218" s="92"/>
    </row>
    <row r="219" spans="1:1" ht="15.75" customHeight="1" x14ac:dyDescent="0.45">
      <c r="A219" s="92"/>
    </row>
    <row r="220" spans="1:1" ht="15.75" customHeight="1" x14ac:dyDescent="0.45">
      <c r="A220" s="92"/>
    </row>
    <row r="221" spans="1:1" ht="15.75" customHeight="1" x14ac:dyDescent="0.45">
      <c r="A221" s="92"/>
    </row>
    <row r="222" spans="1:1" ht="15.75" customHeight="1" x14ac:dyDescent="0.45">
      <c r="A222" s="92"/>
    </row>
    <row r="223" spans="1:1" ht="15.75" customHeight="1" x14ac:dyDescent="0.45">
      <c r="A223" s="92"/>
    </row>
    <row r="224" spans="1:1" ht="15.75" customHeight="1" x14ac:dyDescent="0.45">
      <c r="A224" s="92"/>
    </row>
    <row r="225" spans="1:1" ht="15.75" customHeight="1" x14ac:dyDescent="0.45">
      <c r="A225" s="92"/>
    </row>
    <row r="226" spans="1:1" ht="15.75" customHeight="1" x14ac:dyDescent="0.45">
      <c r="A226" s="92"/>
    </row>
    <row r="227" spans="1:1" ht="15.75" customHeight="1" x14ac:dyDescent="0.45">
      <c r="A227" s="92"/>
    </row>
    <row r="228" spans="1:1" ht="15.75" customHeight="1" x14ac:dyDescent="0.45">
      <c r="A228" s="92"/>
    </row>
    <row r="229" spans="1:1" ht="15.75" customHeight="1" x14ac:dyDescent="0.45">
      <c r="A229" s="92"/>
    </row>
    <row r="230" spans="1:1" ht="15.75" customHeight="1" x14ac:dyDescent="0.45">
      <c r="A230" s="92"/>
    </row>
    <row r="231" spans="1:1" ht="15.75" customHeight="1" x14ac:dyDescent="0.45">
      <c r="A231" s="92"/>
    </row>
    <row r="232" spans="1:1" ht="15.75" customHeight="1" x14ac:dyDescent="0.45">
      <c r="A232" s="92"/>
    </row>
    <row r="233" spans="1:1" ht="15.75" customHeight="1" x14ac:dyDescent="0.45">
      <c r="A233" s="92"/>
    </row>
    <row r="234" spans="1:1" ht="15.75" customHeight="1" x14ac:dyDescent="0.45">
      <c r="A234" s="92"/>
    </row>
    <row r="235" spans="1:1" ht="15.75" customHeight="1" x14ac:dyDescent="0.45">
      <c r="A235" s="92"/>
    </row>
    <row r="236" spans="1:1" ht="15.75" customHeight="1" x14ac:dyDescent="0.45">
      <c r="A236" s="92"/>
    </row>
    <row r="237" spans="1:1" ht="15.75" customHeight="1" x14ac:dyDescent="0.45">
      <c r="A237" s="92"/>
    </row>
    <row r="238" spans="1:1" ht="15.75" customHeight="1" x14ac:dyDescent="0.45">
      <c r="A238" s="92"/>
    </row>
    <row r="239" spans="1:1" ht="15.75" customHeight="1" x14ac:dyDescent="0.45">
      <c r="A239" s="92"/>
    </row>
    <row r="240" spans="1:1" ht="15.75" customHeight="1" x14ac:dyDescent="0.45">
      <c r="A240" s="92"/>
    </row>
    <row r="241" spans="1:1" ht="15.75" customHeight="1" x14ac:dyDescent="0.45">
      <c r="A241" s="92"/>
    </row>
    <row r="242" spans="1:1" ht="15.75" customHeight="1" x14ac:dyDescent="0.45">
      <c r="A242" s="92"/>
    </row>
    <row r="243" spans="1:1" ht="15.75" customHeight="1" x14ac:dyDescent="0.45">
      <c r="A243" s="92"/>
    </row>
    <row r="244" spans="1:1" ht="15.75" customHeight="1" x14ac:dyDescent="0.45">
      <c r="A244" s="92"/>
    </row>
    <row r="245" spans="1:1" ht="15.75" customHeight="1" x14ac:dyDescent="0.45">
      <c r="A245" s="92"/>
    </row>
    <row r="246" spans="1:1" ht="15.75" customHeight="1" x14ac:dyDescent="0.45">
      <c r="A246" s="92"/>
    </row>
    <row r="247" spans="1:1" ht="15.75" customHeight="1" x14ac:dyDescent="0.45">
      <c r="A247" s="92"/>
    </row>
    <row r="248" spans="1:1" ht="15.75" customHeight="1" x14ac:dyDescent="0.45">
      <c r="A248" s="92"/>
    </row>
    <row r="249" spans="1:1" ht="15.75" customHeight="1" x14ac:dyDescent="0.45">
      <c r="A249" s="92"/>
    </row>
    <row r="250" spans="1:1" ht="15.75" customHeight="1" x14ac:dyDescent="0.45">
      <c r="A250" s="92"/>
    </row>
    <row r="251" spans="1:1" ht="15.75" customHeight="1" x14ac:dyDescent="0.45">
      <c r="A251" s="92"/>
    </row>
    <row r="252" spans="1:1" ht="15.75" customHeight="1" x14ac:dyDescent="0.45">
      <c r="A252" s="92"/>
    </row>
    <row r="253" spans="1:1" ht="15.75" customHeight="1" x14ac:dyDescent="0.45">
      <c r="A253" s="92"/>
    </row>
    <row r="254" spans="1:1" ht="15.75" customHeight="1" x14ac:dyDescent="0.45">
      <c r="A254" s="92"/>
    </row>
    <row r="255" spans="1:1" ht="15.75" customHeight="1" x14ac:dyDescent="0.45">
      <c r="A255" s="92"/>
    </row>
    <row r="256" spans="1:1" ht="15.75" customHeight="1" x14ac:dyDescent="0.45">
      <c r="A256" s="92"/>
    </row>
    <row r="257" spans="1:1" ht="15.75" customHeight="1" x14ac:dyDescent="0.45">
      <c r="A257" s="92"/>
    </row>
    <row r="258" spans="1:1" ht="15.75" customHeight="1" x14ac:dyDescent="0.45">
      <c r="A258" s="92"/>
    </row>
    <row r="259" spans="1:1" ht="15.75" customHeight="1" x14ac:dyDescent="0.45">
      <c r="A259" s="92"/>
    </row>
    <row r="260" spans="1:1" ht="15.75" customHeight="1" x14ac:dyDescent="0.45">
      <c r="A260" s="92"/>
    </row>
    <row r="261" spans="1:1" ht="15.75" customHeight="1" x14ac:dyDescent="0.45">
      <c r="A261" s="92"/>
    </row>
    <row r="262" spans="1:1" ht="15.75" customHeight="1" x14ac:dyDescent="0.45">
      <c r="A262" s="92"/>
    </row>
    <row r="263" spans="1:1" ht="15.75" customHeight="1" x14ac:dyDescent="0.45">
      <c r="A263" s="92"/>
    </row>
    <row r="264" spans="1:1" ht="15.75" customHeight="1" x14ac:dyDescent="0.45">
      <c r="A264" s="92"/>
    </row>
    <row r="265" spans="1:1" ht="15.75" customHeight="1" x14ac:dyDescent="0.45">
      <c r="A265" s="92"/>
    </row>
    <row r="266" spans="1:1" ht="15.75" customHeight="1" x14ac:dyDescent="0.45">
      <c r="A266" s="92"/>
    </row>
    <row r="267" spans="1:1" ht="15.75" customHeight="1" x14ac:dyDescent="0.45">
      <c r="A267" s="92"/>
    </row>
    <row r="268" spans="1:1" ht="15.75" customHeight="1" x14ac:dyDescent="0.45">
      <c r="A268" s="92"/>
    </row>
    <row r="269" spans="1:1" ht="15.75" customHeight="1" x14ac:dyDescent="0.45">
      <c r="A269" s="92"/>
    </row>
    <row r="270" spans="1:1" ht="15.75" customHeight="1" x14ac:dyDescent="0.45">
      <c r="A270" s="92"/>
    </row>
    <row r="271" spans="1:1" ht="15.75" customHeight="1" x14ac:dyDescent="0.45">
      <c r="A271" s="92"/>
    </row>
    <row r="272" spans="1:1" ht="15.75" customHeight="1" x14ac:dyDescent="0.45">
      <c r="A272" s="92"/>
    </row>
    <row r="273" spans="1:1" ht="15.75" customHeight="1" x14ac:dyDescent="0.45">
      <c r="A273" s="92"/>
    </row>
    <row r="274" spans="1:1" ht="15.75" customHeight="1" x14ac:dyDescent="0.45">
      <c r="A274" s="92"/>
    </row>
    <row r="275" spans="1:1" ht="15.75" customHeight="1" x14ac:dyDescent="0.45">
      <c r="A275" s="92"/>
    </row>
    <row r="276" spans="1:1" ht="15.75" customHeight="1" x14ac:dyDescent="0.45">
      <c r="A276" s="92"/>
    </row>
    <row r="277" spans="1:1" ht="15.75" customHeight="1" x14ac:dyDescent="0.45">
      <c r="A277" s="92"/>
    </row>
    <row r="278" spans="1:1" ht="15.75" customHeight="1" x14ac:dyDescent="0.45">
      <c r="A278" s="92"/>
    </row>
    <row r="279" spans="1:1" ht="15.75" customHeight="1" x14ac:dyDescent="0.45">
      <c r="A279" s="92"/>
    </row>
    <row r="280" spans="1:1" ht="15.75" customHeight="1" x14ac:dyDescent="0.45">
      <c r="A280" s="92"/>
    </row>
    <row r="281" spans="1:1" ht="15.75" customHeight="1" x14ac:dyDescent="0.45">
      <c r="A281" s="92"/>
    </row>
    <row r="282" spans="1:1" ht="15.75" customHeight="1" x14ac:dyDescent="0.45">
      <c r="A282" s="92"/>
    </row>
    <row r="283" spans="1:1" ht="15.75" customHeight="1" x14ac:dyDescent="0.45">
      <c r="A283" s="92"/>
    </row>
    <row r="284" spans="1:1" ht="15.75" customHeight="1" x14ac:dyDescent="0.45">
      <c r="A284" s="92"/>
    </row>
    <row r="285" spans="1:1" ht="15.75" customHeight="1" x14ac:dyDescent="0.45">
      <c r="A285" s="92"/>
    </row>
    <row r="286" spans="1:1" ht="15.75" customHeight="1" x14ac:dyDescent="0.45">
      <c r="A286" s="92"/>
    </row>
    <row r="287" spans="1:1" ht="15.75" customHeight="1" x14ac:dyDescent="0.45">
      <c r="A287" s="92"/>
    </row>
    <row r="288" spans="1:1" ht="15.75" customHeight="1" x14ac:dyDescent="0.45">
      <c r="A288" s="92"/>
    </row>
    <row r="289" spans="1:1" ht="15.75" customHeight="1" x14ac:dyDescent="0.45">
      <c r="A289" s="92"/>
    </row>
    <row r="290" spans="1:1" ht="15.75" customHeight="1" x14ac:dyDescent="0.45">
      <c r="A290" s="92"/>
    </row>
    <row r="291" spans="1:1" ht="15.75" customHeight="1" x14ac:dyDescent="0.45">
      <c r="A291" s="92"/>
    </row>
    <row r="292" spans="1:1" ht="15.75" customHeight="1" x14ac:dyDescent="0.45">
      <c r="A292" s="92"/>
    </row>
    <row r="293" spans="1:1" ht="15.75" customHeight="1" x14ac:dyDescent="0.45">
      <c r="A293" s="92"/>
    </row>
    <row r="294" spans="1:1" ht="15.75" customHeight="1" x14ac:dyDescent="0.45">
      <c r="A294" s="92"/>
    </row>
    <row r="295" spans="1:1" ht="15.75" customHeight="1" x14ac:dyDescent="0.45">
      <c r="A295" s="92"/>
    </row>
    <row r="296" spans="1:1" ht="15.75" customHeight="1" x14ac:dyDescent="0.45">
      <c r="A296" s="92"/>
    </row>
    <row r="297" spans="1:1" ht="15.75" customHeight="1" x14ac:dyDescent="0.45">
      <c r="A297" s="92"/>
    </row>
    <row r="298" spans="1:1" ht="15.75" customHeight="1" x14ac:dyDescent="0.45">
      <c r="A298" s="92"/>
    </row>
    <row r="299" spans="1:1" ht="15.75" customHeight="1" x14ac:dyDescent="0.45">
      <c r="A299" s="92"/>
    </row>
    <row r="300" spans="1:1" ht="15.75" customHeight="1" x14ac:dyDescent="0.45">
      <c r="A300" s="92"/>
    </row>
    <row r="301" spans="1:1" ht="15.75" customHeight="1" x14ac:dyDescent="0.45">
      <c r="A301" s="92"/>
    </row>
    <row r="302" spans="1:1" ht="15.75" customHeight="1" x14ac:dyDescent="0.45">
      <c r="A302" s="92"/>
    </row>
    <row r="303" spans="1:1" ht="15.75" customHeight="1" x14ac:dyDescent="0.45">
      <c r="A303" s="92"/>
    </row>
    <row r="304" spans="1:1" ht="15.75" customHeight="1" x14ac:dyDescent="0.45">
      <c r="A304" s="92"/>
    </row>
    <row r="305" spans="1:1" ht="15.75" customHeight="1" x14ac:dyDescent="0.45">
      <c r="A305" s="92"/>
    </row>
    <row r="306" spans="1:1" ht="15.75" customHeight="1" x14ac:dyDescent="0.45">
      <c r="A306" s="92"/>
    </row>
    <row r="307" spans="1:1" ht="15.75" customHeight="1" x14ac:dyDescent="0.45">
      <c r="A307" s="92"/>
    </row>
    <row r="308" spans="1:1" ht="15.75" customHeight="1" x14ac:dyDescent="0.45">
      <c r="A308" s="92"/>
    </row>
    <row r="309" spans="1:1" ht="15.75" customHeight="1" x14ac:dyDescent="0.45">
      <c r="A309" s="92"/>
    </row>
    <row r="310" spans="1:1" ht="15.75" customHeight="1" x14ac:dyDescent="0.45">
      <c r="A310" s="92"/>
    </row>
    <row r="311" spans="1:1" ht="15.75" customHeight="1" x14ac:dyDescent="0.45">
      <c r="A311" s="92"/>
    </row>
    <row r="312" spans="1:1" ht="15.75" customHeight="1" x14ac:dyDescent="0.45">
      <c r="A312" s="92"/>
    </row>
    <row r="313" spans="1:1" ht="15.75" customHeight="1" x14ac:dyDescent="0.45">
      <c r="A313" s="92"/>
    </row>
    <row r="314" spans="1:1" ht="15.75" customHeight="1" x14ac:dyDescent="0.45">
      <c r="A314" s="92"/>
    </row>
    <row r="315" spans="1:1" ht="15.75" customHeight="1" x14ac:dyDescent="0.45">
      <c r="A315" s="92"/>
    </row>
    <row r="316" spans="1:1" ht="15.75" customHeight="1" x14ac:dyDescent="0.45">
      <c r="A316" s="92"/>
    </row>
    <row r="317" spans="1:1" ht="15.75" customHeight="1" x14ac:dyDescent="0.45">
      <c r="A317" s="92"/>
    </row>
    <row r="318" spans="1:1" ht="15.75" customHeight="1" x14ac:dyDescent="0.45">
      <c r="A318" s="92"/>
    </row>
    <row r="319" spans="1:1" ht="15.75" customHeight="1" x14ac:dyDescent="0.45">
      <c r="A319" s="92"/>
    </row>
    <row r="320" spans="1:1" ht="15.75" customHeight="1" x14ac:dyDescent="0.45">
      <c r="A320" s="92"/>
    </row>
    <row r="321" spans="1:1" ht="15.75" customHeight="1" x14ac:dyDescent="0.45">
      <c r="A321" s="92"/>
    </row>
    <row r="322" spans="1:1" ht="15.75" customHeight="1" x14ac:dyDescent="0.45">
      <c r="A322" s="92"/>
    </row>
    <row r="323" spans="1:1" ht="15.75" customHeight="1" x14ac:dyDescent="0.45">
      <c r="A323" s="92"/>
    </row>
    <row r="324" spans="1:1" ht="15.75" customHeight="1" x14ac:dyDescent="0.45">
      <c r="A324" s="92"/>
    </row>
    <row r="325" spans="1:1" ht="15.75" customHeight="1" x14ac:dyDescent="0.45">
      <c r="A325" s="92"/>
    </row>
    <row r="326" spans="1:1" ht="15.75" customHeight="1" x14ac:dyDescent="0.45">
      <c r="A326" s="92"/>
    </row>
    <row r="327" spans="1:1" ht="15.75" customHeight="1" x14ac:dyDescent="0.45">
      <c r="A327" s="92"/>
    </row>
    <row r="328" spans="1:1" ht="15.75" customHeight="1" x14ac:dyDescent="0.45">
      <c r="A328" s="92"/>
    </row>
    <row r="329" spans="1:1" ht="15.75" customHeight="1" x14ac:dyDescent="0.45">
      <c r="A329" s="92"/>
    </row>
    <row r="330" spans="1:1" ht="15.75" customHeight="1" x14ac:dyDescent="0.45">
      <c r="A330" s="92"/>
    </row>
    <row r="331" spans="1:1" ht="15.75" customHeight="1" x14ac:dyDescent="0.45">
      <c r="A331" s="92"/>
    </row>
    <row r="332" spans="1:1" ht="15.75" customHeight="1" x14ac:dyDescent="0.45">
      <c r="A332" s="92"/>
    </row>
    <row r="333" spans="1:1" ht="15.75" customHeight="1" x14ac:dyDescent="0.45">
      <c r="A333" s="92"/>
    </row>
    <row r="334" spans="1:1" ht="15.75" customHeight="1" x14ac:dyDescent="0.45">
      <c r="A334" s="92"/>
    </row>
    <row r="335" spans="1:1" ht="15.75" customHeight="1" x14ac:dyDescent="0.45">
      <c r="A335" s="92"/>
    </row>
    <row r="336" spans="1:1" ht="15.75" customHeight="1" x14ac:dyDescent="0.45">
      <c r="A336" s="92"/>
    </row>
    <row r="337" spans="1:1" ht="15.75" customHeight="1" x14ac:dyDescent="0.45">
      <c r="A337" s="92"/>
    </row>
    <row r="338" spans="1:1" ht="15.75" customHeight="1" x14ac:dyDescent="0.45">
      <c r="A338" s="92"/>
    </row>
    <row r="339" spans="1:1" ht="15.75" customHeight="1" x14ac:dyDescent="0.45">
      <c r="A339" s="92"/>
    </row>
    <row r="340" spans="1:1" ht="15.75" customHeight="1" x14ac:dyDescent="0.45">
      <c r="A340" s="92"/>
    </row>
    <row r="341" spans="1:1" ht="15.75" customHeight="1" x14ac:dyDescent="0.45">
      <c r="A341" s="92"/>
    </row>
    <row r="342" spans="1:1" ht="15.75" customHeight="1" x14ac:dyDescent="0.45">
      <c r="A342" s="92"/>
    </row>
    <row r="343" spans="1:1" ht="15.75" customHeight="1" x14ac:dyDescent="0.45">
      <c r="A343" s="92"/>
    </row>
    <row r="344" spans="1:1" ht="15.75" customHeight="1" x14ac:dyDescent="0.45">
      <c r="A344" s="92"/>
    </row>
    <row r="345" spans="1:1" ht="15.75" customHeight="1" x14ac:dyDescent="0.45">
      <c r="A345" s="92"/>
    </row>
    <row r="346" spans="1:1" ht="15.75" customHeight="1" x14ac:dyDescent="0.45">
      <c r="A346" s="92"/>
    </row>
    <row r="347" spans="1:1" ht="15.75" customHeight="1" x14ac:dyDescent="0.45">
      <c r="A347" s="92"/>
    </row>
    <row r="348" spans="1:1" ht="15.75" customHeight="1" x14ac:dyDescent="0.45">
      <c r="A348" s="92"/>
    </row>
    <row r="349" spans="1:1" ht="15.75" customHeight="1" x14ac:dyDescent="0.45">
      <c r="A349" s="92"/>
    </row>
    <row r="350" spans="1:1" ht="15.75" customHeight="1" x14ac:dyDescent="0.45">
      <c r="A350" s="92"/>
    </row>
    <row r="351" spans="1:1" ht="15.75" customHeight="1" x14ac:dyDescent="0.45">
      <c r="A351" s="92"/>
    </row>
    <row r="352" spans="1:1" ht="15.75" customHeight="1" x14ac:dyDescent="0.45">
      <c r="A352" s="92"/>
    </row>
    <row r="353" spans="1:1" ht="15.75" customHeight="1" x14ac:dyDescent="0.45">
      <c r="A353" s="92"/>
    </row>
    <row r="354" spans="1:1" ht="15.75" customHeight="1" x14ac:dyDescent="0.45">
      <c r="A354" s="92"/>
    </row>
    <row r="355" spans="1:1" ht="15.75" customHeight="1" x14ac:dyDescent="0.45">
      <c r="A355" s="92"/>
    </row>
    <row r="356" spans="1:1" ht="15.75" customHeight="1" x14ac:dyDescent="0.45">
      <c r="A356" s="92"/>
    </row>
    <row r="357" spans="1:1" ht="15.75" customHeight="1" x14ac:dyDescent="0.45">
      <c r="A357" s="92"/>
    </row>
    <row r="358" spans="1:1" ht="15.75" customHeight="1" x14ac:dyDescent="0.45">
      <c r="A358" s="92"/>
    </row>
    <row r="359" spans="1:1" ht="15.75" customHeight="1" x14ac:dyDescent="0.45">
      <c r="A359" s="92"/>
    </row>
    <row r="360" spans="1:1" ht="15.75" customHeight="1" x14ac:dyDescent="0.45">
      <c r="A360" s="92"/>
    </row>
    <row r="361" spans="1:1" ht="15.75" customHeight="1" x14ac:dyDescent="0.45">
      <c r="A361" s="92"/>
    </row>
    <row r="362" spans="1:1" ht="15.75" customHeight="1" x14ac:dyDescent="0.45">
      <c r="A362" s="92"/>
    </row>
    <row r="363" spans="1:1" ht="15.75" customHeight="1" x14ac:dyDescent="0.45">
      <c r="A363" s="92"/>
    </row>
    <row r="364" spans="1:1" ht="15.75" customHeight="1" x14ac:dyDescent="0.45">
      <c r="A364" s="92"/>
    </row>
    <row r="365" spans="1:1" ht="15.75" customHeight="1" x14ac:dyDescent="0.45">
      <c r="A365" s="92"/>
    </row>
    <row r="366" spans="1:1" ht="15.75" customHeight="1" x14ac:dyDescent="0.45">
      <c r="A366" s="92"/>
    </row>
    <row r="367" spans="1:1" ht="15.75" customHeight="1" x14ac:dyDescent="0.45">
      <c r="A367" s="92"/>
    </row>
    <row r="368" spans="1:1" ht="15.75" customHeight="1" x14ac:dyDescent="0.45">
      <c r="A368" s="92"/>
    </row>
    <row r="369" spans="1:1" ht="15.75" customHeight="1" x14ac:dyDescent="0.45">
      <c r="A369" s="92"/>
    </row>
    <row r="370" spans="1:1" ht="15.75" customHeight="1" x14ac:dyDescent="0.45">
      <c r="A370" s="92"/>
    </row>
    <row r="371" spans="1:1" ht="15.75" customHeight="1" x14ac:dyDescent="0.45">
      <c r="A371" s="92"/>
    </row>
    <row r="372" spans="1:1" ht="15.75" customHeight="1" x14ac:dyDescent="0.45">
      <c r="A372" s="92"/>
    </row>
    <row r="373" spans="1:1" ht="15.75" customHeight="1" x14ac:dyDescent="0.45">
      <c r="A373" s="92"/>
    </row>
    <row r="374" spans="1:1" ht="15.75" customHeight="1" x14ac:dyDescent="0.45">
      <c r="A374" s="92"/>
    </row>
    <row r="375" spans="1:1" ht="15.75" customHeight="1" x14ac:dyDescent="0.45">
      <c r="A375" s="92"/>
    </row>
    <row r="376" spans="1:1" ht="15.75" customHeight="1" x14ac:dyDescent="0.45">
      <c r="A376" s="92"/>
    </row>
    <row r="377" spans="1:1" ht="15.75" customHeight="1" x14ac:dyDescent="0.45">
      <c r="A377" s="92"/>
    </row>
    <row r="378" spans="1:1" ht="15.75" customHeight="1" x14ac:dyDescent="0.45">
      <c r="A378" s="92"/>
    </row>
    <row r="379" spans="1:1" ht="15.75" customHeight="1" x14ac:dyDescent="0.45">
      <c r="A379" s="92"/>
    </row>
    <row r="380" spans="1:1" ht="15.75" customHeight="1" x14ac:dyDescent="0.45">
      <c r="A380" s="92"/>
    </row>
    <row r="381" spans="1:1" ht="15.75" customHeight="1" x14ac:dyDescent="0.45">
      <c r="A381" s="92"/>
    </row>
    <row r="382" spans="1:1" ht="15.75" customHeight="1" x14ac:dyDescent="0.45">
      <c r="A382" s="92"/>
    </row>
    <row r="383" spans="1:1" ht="15.75" customHeight="1" x14ac:dyDescent="0.45">
      <c r="A383" s="92"/>
    </row>
    <row r="384" spans="1:1" ht="15.75" customHeight="1" x14ac:dyDescent="0.45">
      <c r="A384" s="92"/>
    </row>
    <row r="385" spans="1:1" ht="15.75" customHeight="1" x14ac:dyDescent="0.45">
      <c r="A385" s="92"/>
    </row>
    <row r="386" spans="1:1" ht="15.75" customHeight="1" x14ac:dyDescent="0.45">
      <c r="A386" s="92"/>
    </row>
    <row r="387" spans="1:1" ht="15.75" customHeight="1" x14ac:dyDescent="0.45">
      <c r="A387" s="92"/>
    </row>
    <row r="388" spans="1:1" ht="15.75" customHeight="1" x14ac:dyDescent="0.45">
      <c r="A388" s="92"/>
    </row>
    <row r="389" spans="1:1" ht="15.75" customHeight="1" x14ac:dyDescent="0.45">
      <c r="A389" s="92"/>
    </row>
    <row r="390" spans="1:1" ht="15.75" customHeight="1" x14ac:dyDescent="0.45">
      <c r="A390" s="92"/>
    </row>
    <row r="391" spans="1:1" ht="15.75" customHeight="1" x14ac:dyDescent="0.45">
      <c r="A391" s="92"/>
    </row>
    <row r="392" spans="1:1" ht="15.75" customHeight="1" x14ac:dyDescent="0.45">
      <c r="A392" s="92"/>
    </row>
    <row r="393" spans="1:1" ht="15.75" customHeight="1" x14ac:dyDescent="0.45">
      <c r="A393" s="92"/>
    </row>
    <row r="394" spans="1:1" ht="15.75" customHeight="1" x14ac:dyDescent="0.45">
      <c r="A394" s="92"/>
    </row>
    <row r="395" spans="1:1" ht="15.75" customHeight="1" x14ac:dyDescent="0.45">
      <c r="A395" s="92"/>
    </row>
    <row r="396" spans="1:1" ht="15.75" customHeight="1" x14ac:dyDescent="0.45">
      <c r="A396" s="92"/>
    </row>
    <row r="397" spans="1:1" ht="15.75" customHeight="1" x14ac:dyDescent="0.45">
      <c r="A397" s="92"/>
    </row>
    <row r="398" spans="1:1" ht="15.75" customHeight="1" x14ac:dyDescent="0.45">
      <c r="A398" s="92"/>
    </row>
    <row r="399" spans="1:1" ht="15.75" customHeight="1" x14ac:dyDescent="0.45">
      <c r="A399" s="92"/>
    </row>
    <row r="400" spans="1:1" ht="15.75" customHeight="1" x14ac:dyDescent="0.45">
      <c r="A400" s="92"/>
    </row>
    <row r="401" spans="1:1" ht="15.75" customHeight="1" x14ac:dyDescent="0.45">
      <c r="A401" s="92"/>
    </row>
    <row r="402" spans="1:1" ht="15.75" customHeight="1" x14ac:dyDescent="0.45">
      <c r="A402" s="92"/>
    </row>
    <row r="403" spans="1:1" ht="15.75" customHeight="1" x14ac:dyDescent="0.45">
      <c r="A403" s="92"/>
    </row>
    <row r="404" spans="1:1" ht="15.75" customHeight="1" x14ac:dyDescent="0.45">
      <c r="A404" s="92"/>
    </row>
    <row r="405" spans="1:1" ht="15.75" customHeight="1" x14ac:dyDescent="0.45">
      <c r="A405" s="92"/>
    </row>
    <row r="406" spans="1:1" ht="15.75" customHeight="1" x14ac:dyDescent="0.45">
      <c r="A406" s="92"/>
    </row>
    <row r="407" spans="1:1" ht="15.75" customHeight="1" x14ac:dyDescent="0.45">
      <c r="A407" s="92"/>
    </row>
    <row r="408" spans="1:1" ht="15.75" customHeight="1" x14ac:dyDescent="0.45">
      <c r="A408" s="92"/>
    </row>
    <row r="409" spans="1:1" ht="15.75" customHeight="1" x14ac:dyDescent="0.45">
      <c r="A409" s="92"/>
    </row>
    <row r="410" spans="1:1" ht="15.75" customHeight="1" x14ac:dyDescent="0.45">
      <c r="A410" s="92"/>
    </row>
    <row r="411" spans="1:1" ht="15.75" customHeight="1" x14ac:dyDescent="0.45">
      <c r="A411" s="92"/>
    </row>
    <row r="412" spans="1:1" ht="15.75" customHeight="1" x14ac:dyDescent="0.45">
      <c r="A412" s="92"/>
    </row>
    <row r="413" spans="1:1" ht="15.75" customHeight="1" x14ac:dyDescent="0.45">
      <c r="A413" s="92"/>
    </row>
    <row r="414" spans="1:1" ht="15.75" customHeight="1" x14ac:dyDescent="0.45">
      <c r="A414" s="92"/>
    </row>
    <row r="415" spans="1:1" ht="15.75" customHeight="1" x14ac:dyDescent="0.45">
      <c r="A415" s="92"/>
    </row>
    <row r="416" spans="1:1" ht="15.75" customHeight="1" x14ac:dyDescent="0.45">
      <c r="A416" s="92"/>
    </row>
    <row r="417" spans="1:1" ht="15.75" customHeight="1" x14ac:dyDescent="0.45">
      <c r="A417" s="92"/>
    </row>
    <row r="418" spans="1:1" ht="15.75" customHeight="1" x14ac:dyDescent="0.45">
      <c r="A418" s="92"/>
    </row>
    <row r="419" spans="1:1" ht="15.75" customHeight="1" x14ac:dyDescent="0.45">
      <c r="A419" s="92"/>
    </row>
    <row r="420" spans="1:1" ht="15.75" customHeight="1" x14ac:dyDescent="0.45">
      <c r="A420" s="92"/>
    </row>
    <row r="421" spans="1:1" ht="15.75" customHeight="1" x14ac:dyDescent="0.45">
      <c r="A421" s="92"/>
    </row>
    <row r="422" spans="1:1" ht="15.75" customHeight="1" x14ac:dyDescent="0.45">
      <c r="A422" s="92"/>
    </row>
    <row r="423" spans="1:1" ht="15.75" customHeight="1" x14ac:dyDescent="0.45">
      <c r="A423" s="92"/>
    </row>
    <row r="424" spans="1:1" ht="15.75" customHeight="1" x14ac:dyDescent="0.45">
      <c r="A424" s="92"/>
    </row>
    <row r="425" spans="1:1" ht="15.75" customHeight="1" x14ac:dyDescent="0.45">
      <c r="A425" s="92"/>
    </row>
    <row r="426" spans="1:1" ht="15.75" customHeight="1" x14ac:dyDescent="0.45">
      <c r="A426" s="92"/>
    </row>
    <row r="427" spans="1:1" ht="15.75" customHeight="1" x14ac:dyDescent="0.45">
      <c r="A427" s="92"/>
    </row>
    <row r="428" spans="1:1" ht="15.75" customHeight="1" x14ac:dyDescent="0.45">
      <c r="A428" s="92"/>
    </row>
    <row r="429" spans="1:1" ht="15.75" customHeight="1" x14ac:dyDescent="0.45">
      <c r="A429" s="92"/>
    </row>
    <row r="430" spans="1:1" ht="15.75" customHeight="1" x14ac:dyDescent="0.45">
      <c r="A430" s="92"/>
    </row>
    <row r="431" spans="1:1" ht="15.75" customHeight="1" x14ac:dyDescent="0.45">
      <c r="A431" s="92"/>
    </row>
    <row r="432" spans="1:1" ht="15.75" customHeight="1" x14ac:dyDescent="0.45">
      <c r="A432" s="92"/>
    </row>
    <row r="433" spans="1:1" ht="15.75" customHeight="1" x14ac:dyDescent="0.45">
      <c r="A433" s="92"/>
    </row>
    <row r="434" spans="1:1" ht="15.75" customHeight="1" x14ac:dyDescent="0.45">
      <c r="A434" s="92"/>
    </row>
    <row r="435" spans="1:1" ht="15.75" customHeight="1" x14ac:dyDescent="0.45">
      <c r="A435" s="92"/>
    </row>
    <row r="436" spans="1:1" ht="15.75" customHeight="1" x14ac:dyDescent="0.45">
      <c r="A436" s="92"/>
    </row>
    <row r="437" spans="1:1" ht="15.75" customHeight="1" x14ac:dyDescent="0.45">
      <c r="A437" s="92"/>
    </row>
    <row r="438" spans="1:1" ht="15.75" customHeight="1" x14ac:dyDescent="0.45">
      <c r="A438" s="92"/>
    </row>
    <row r="439" spans="1:1" ht="15.75" customHeight="1" x14ac:dyDescent="0.45">
      <c r="A439" s="92"/>
    </row>
    <row r="440" spans="1:1" ht="15.75" customHeight="1" x14ac:dyDescent="0.45">
      <c r="A440" s="92"/>
    </row>
    <row r="441" spans="1:1" ht="15.75" customHeight="1" x14ac:dyDescent="0.45">
      <c r="A441" s="92"/>
    </row>
    <row r="442" spans="1:1" ht="15.75" customHeight="1" x14ac:dyDescent="0.45">
      <c r="A442" s="92"/>
    </row>
    <row r="443" spans="1:1" ht="15.75" customHeight="1" x14ac:dyDescent="0.45">
      <c r="A443" s="92"/>
    </row>
    <row r="444" spans="1:1" ht="15.75" customHeight="1" x14ac:dyDescent="0.45">
      <c r="A444" s="92"/>
    </row>
    <row r="445" spans="1:1" ht="15.75" customHeight="1" x14ac:dyDescent="0.45">
      <c r="A445" s="92"/>
    </row>
    <row r="446" spans="1:1" ht="15.75" customHeight="1" x14ac:dyDescent="0.45">
      <c r="A446" s="92"/>
    </row>
    <row r="447" spans="1:1" ht="15.75" customHeight="1" x14ac:dyDescent="0.45">
      <c r="A447" s="92"/>
    </row>
    <row r="448" spans="1:1" ht="15.75" customHeight="1" x14ac:dyDescent="0.45">
      <c r="A448" s="92"/>
    </row>
    <row r="449" spans="1:1" ht="15.75" customHeight="1" x14ac:dyDescent="0.45">
      <c r="A449" s="92"/>
    </row>
    <row r="450" spans="1:1" ht="15.75" customHeight="1" x14ac:dyDescent="0.45">
      <c r="A450" s="92"/>
    </row>
    <row r="451" spans="1:1" ht="15.75" customHeight="1" x14ac:dyDescent="0.45">
      <c r="A451" s="92"/>
    </row>
    <row r="452" spans="1:1" ht="15.75" customHeight="1" x14ac:dyDescent="0.45">
      <c r="A452" s="92"/>
    </row>
    <row r="453" spans="1:1" ht="15.75" customHeight="1" x14ac:dyDescent="0.45">
      <c r="A453" s="92"/>
    </row>
    <row r="454" spans="1:1" ht="15.75" customHeight="1" x14ac:dyDescent="0.45">
      <c r="A454" s="92"/>
    </row>
    <row r="455" spans="1:1" ht="15.75" customHeight="1" x14ac:dyDescent="0.45">
      <c r="A455" s="92"/>
    </row>
    <row r="456" spans="1:1" ht="15.75" customHeight="1" x14ac:dyDescent="0.45">
      <c r="A456" s="92"/>
    </row>
    <row r="457" spans="1:1" ht="15.75" customHeight="1" x14ac:dyDescent="0.45">
      <c r="A457" s="92"/>
    </row>
    <row r="458" spans="1:1" ht="15.75" customHeight="1" x14ac:dyDescent="0.45">
      <c r="A458" s="92"/>
    </row>
    <row r="459" spans="1:1" ht="15.75" customHeight="1" x14ac:dyDescent="0.45">
      <c r="A459" s="92"/>
    </row>
    <row r="460" spans="1:1" ht="15.75" customHeight="1" x14ac:dyDescent="0.45">
      <c r="A460" s="92"/>
    </row>
    <row r="461" spans="1:1" ht="15.75" customHeight="1" x14ac:dyDescent="0.45">
      <c r="A461" s="92"/>
    </row>
    <row r="462" spans="1:1" ht="15.75" customHeight="1" x14ac:dyDescent="0.45">
      <c r="A462" s="92"/>
    </row>
    <row r="463" spans="1:1" ht="15.75" customHeight="1" x14ac:dyDescent="0.45">
      <c r="A463" s="92"/>
    </row>
    <row r="464" spans="1:1" ht="15.75" customHeight="1" x14ac:dyDescent="0.45">
      <c r="A464" s="92"/>
    </row>
    <row r="465" spans="1:1" ht="15.75" customHeight="1" x14ac:dyDescent="0.45">
      <c r="A465" s="92"/>
    </row>
    <row r="466" spans="1:1" ht="15.75" customHeight="1" x14ac:dyDescent="0.45">
      <c r="A466" s="92"/>
    </row>
    <row r="467" spans="1:1" ht="15.75" customHeight="1" x14ac:dyDescent="0.45">
      <c r="A467" s="92"/>
    </row>
    <row r="468" spans="1:1" ht="15.75" customHeight="1" x14ac:dyDescent="0.45">
      <c r="A468" s="92"/>
    </row>
    <row r="469" spans="1:1" ht="15.75" customHeight="1" x14ac:dyDescent="0.45">
      <c r="A469" s="92"/>
    </row>
    <row r="470" spans="1:1" ht="15.75" customHeight="1" x14ac:dyDescent="0.45">
      <c r="A470" s="92"/>
    </row>
    <row r="471" spans="1:1" ht="15.75" customHeight="1" x14ac:dyDescent="0.45">
      <c r="A471" s="92"/>
    </row>
    <row r="472" spans="1:1" ht="15.75" customHeight="1" x14ac:dyDescent="0.45">
      <c r="A472" s="92"/>
    </row>
    <row r="473" spans="1:1" ht="15.75" customHeight="1" x14ac:dyDescent="0.45">
      <c r="A473" s="92"/>
    </row>
    <row r="474" spans="1:1" ht="15.75" customHeight="1" x14ac:dyDescent="0.45">
      <c r="A474" s="92"/>
    </row>
    <row r="475" spans="1:1" ht="15.75" customHeight="1" x14ac:dyDescent="0.45">
      <c r="A475" s="92"/>
    </row>
    <row r="476" spans="1:1" ht="15.75" customHeight="1" x14ac:dyDescent="0.45">
      <c r="A476" s="92"/>
    </row>
    <row r="477" spans="1:1" ht="15.75" customHeight="1" x14ac:dyDescent="0.45">
      <c r="A477" s="92"/>
    </row>
    <row r="478" spans="1:1" ht="15.75" customHeight="1" x14ac:dyDescent="0.45">
      <c r="A478" s="92"/>
    </row>
    <row r="479" spans="1:1" ht="15.75" customHeight="1" x14ac:dyDescent="0.45">
      <c r="A479" s="92"/>
    </row>
    <row r="480" spans="1:1" ht="15.75" customHeight="1" x14ac:dyDescent="0.45">
      <c r="A480" s="92"/>
    </row>
    <row r="481" spans="1:1" ht="15.75" customHeight="1" x14ac:dyDescent="0.45">
      <c r="A481" s="92"/>
    </row>
    <row r="482" spans="1:1" ht="15.75" customHeight="1" x14ac:dyDescent="0.45">
      <c r="A482" s="92"/>
    </row>
    <row r="483" spans="1:1" ht="15.75" customHeight="1" x14ac:dyDescent="0.45">
      <c r="A483" s="92"/>
    </row>
    <row r="484" spans="1:1" ht="15.75" customHeight="1" x14ac:dyDescent="0.45">
      <c r="A484" s="92"/>
    </row>
    <row r="485" spans="1:1" ht="15.75" customHeight="1" x14ac:dyDescent="0.45">
      <c r="A485" s="92"/>
    </row>
    <row r="486" spans="1:1" ht="15.75" customHeight="1" x14ac:dyDescent="0.45">
      <c r="A486" s="92"/>
    </row>
    <row r="487" spans="1:1" ht="15.75" customHeight="1" x14ac:dyDescent="0.45">
      <c r="A487" s="92"/>
    </row>
    <row r="488" spans="1:1" ht="15.75" customHeight="1" x14ac:dyDescent="0.45">
      <c r="A488" s="92"/>
    </row>
    <row r="489" spans="1:1" ht="15.75" customHeight="1" x14ac:dyDescent="0.45">
      <c r="A489" s="92"/>
    </row>
    <row r="490" spans="1:1" ht="15.75" customHeight="1" x14ac:dyDescent="0.45">
      <c r="A490" s="92"/>
    </row>
    <row r="491" spans="1:1" ht="15.75" customHeight="1" x14ac:dyDescent="0.45">
      <c r="A491" s="92"/>
    </row>
    <row r="492" spans="1:1" ht="15.75" customHeight="1" x14ac:dyDescent="0.45">
      <c r="A492" s="92"/>
    </row>
    <row r="493" spans="1:1" ht="15.75" customHeight="1" x14ac:dyDescent="0.45">
      <c r="A493" s="92"/>
    </row>
    <row r="494" spans="1:1" ht="15.75" customHeight="1" x14ac:dyDescent="0.45">
      <c r="A494" s="92"/>
    </row>
    <row r="495" spans="1:1" ht="15.75" customHeight="1" x14ac:dyDescent="0.45">
      <c r="A495" s="92"/>
    </row>
    <row r="496" spans="1:1" ht="15.75" customHeight="1" x14ac:dyDescent="0.45">
      <c r="A496" s="92"/>
    </row>
    <row r="497" spans="1:1" ht="15.75" customHeight="1" x14ac:dyDescent="0.45">
      <c r="A497" s="92"/>
    </row>
    <row r="498" spans="1:1" ht="15.75" customHeight="1" x14ac:dyDescent="0.45">
      <c r="A498" s="92"/>
    </row>
    <row r="499" spans="1:1" ht="15.75" customHeight="1" x14ac:dyDescent="0.45">
      <c r="A499" s="92"/>
    </row>
    <row r="500" spans="1:1" ht="15.75" customHeight="1" x14ac:dyDescent="0.45">
      <c r="A500" s="92"/>
    </row>
    <row r="501" spans="1:1" ht="15.75" customHeight="1" x14ac:dyDescent="0.45">
      <c r="A501" s="92"/>
    </row>
    <row r="502" spans="1:1" ht="15.75" customHeight="1" x14ac:dyDescent="0.45">
      <c r="A502" s="92"/>
    </row>
    <row r="503" spans="1:1" ht="15.75" customHeight="1" x14ac:dyDescent="0.45">
      <c r="A503" s="92"/>
    </row>
    <row r="504" spans="1:1" ht="15.75" customHeight="1" x14ac:dyDescent="0.45">
      <c r="A504" s="92"/>
    </row>
    <row r="505" spans="1:1" ht="15.75" customHeight="1" x14ac:dyDescent="0.45">
      <c r="A505" s="92"/>
    </row>
    <row r="506" spans="1:1" ht="15.75" customHeight="1" x14ac:dyDescent="0.45">
      <c r="A506" s="92"/>
    </row>
    <row r="507" spans="1:1" ht="15.75" customHeight="1" x14ac:dyDescent="0.45">
      <c r="A507" s="92"/>
    </row>
    <row r="508" spans="1:1" ht="15.75" customHeight="1" x14ac:dyDescent="0.45">
      <c r="A508" s="92"/>
    </row>
    <row r="509" spans="1:1" ht="15.75" customHeight="1" x14ac:dyDescent="0.45">
      <c r="A509" s="92"/>
    </row>
    <row r="510" spans="1:1" ht="15.75" customHeight="1" x14ac:dyDescent="0.45">
      <c r="A510" s="92"/>
    </row>
    <row r="511" spans="1:1" ht="15.75" customHeight="1" x14ac:dyDescent="0.45">
      <c r="A511" s="92"/>
    </row>
    <row r="512" spans="1:1" ht="15.75" customHeight="1" x14ac:dyDescent="0.45">
      <c r="A512" s="92"/>
    </row>
    <row r="513" spans="1:1" ht="15.75" customHeight="1" x14ac:dyDescent="0.45">
      <c r="A513" s="92"/>
    </row>
    <row r="514" spans="1:1" ht="15.75" customHeight="1" x14ac:dyDescent="0.45">
      <c r="A514" s="92"/>
    </row>
    <row r="515" spans="1:1" ht="15.75" customHeight="1" x14ac:dyDescent="0.45">
      <c r="A515" s="92"/>
    </row>
    <row r="516" spans="1:1" ht="15.75" customHeight="1" x14ac:dyDescent="0.45">
      <c r="A516" s="92"/>
    </row>
    <row r="517" spans="1:1" ht="15.75" customHeight="1" x14ac:dyDescent="0.45">
      <c r="A517" s="92"/>
    </row>
    <row r="518" spans="1:1" ht="15.75" customHeight="1" x14ac:dyDescent="0.45">
      <c r="A518" s="92"/>
    </row>
    <row r="519" spans="1:1" ht="15.75" customHeight="1" x14ac:dyDescent="0.45">
      <c r="A519" s="92"/>
    </row>
    <row r="520" spans="1:1" ht="15.75" customHeight="1" x14ac:dyDescent="0.45">
      <c r="A520" s="92"/>
    </row>
    <row r="521" spans="1:1" ht="15.75" customHeight="1" x14ac:dyDescent="0.45">
      <c r="A521" s="92"/>
    </row>
    <row r="522" spans="1:1" ht="15.75" customHeight="1" x14ac:dyDescent="0.45">
      <c r="A522" s="92"/>
    </row>
    <row r="523" spans="1:1" ht="15.75" customHeight="1" x14ac:dyDescent="0.45">
      <c r="A523" s="92"/>
    </row>
    <row r="524" spans="1:1" ht="15.75" customHeight="1" x14ac:dyDescent="0.45">
      <c r="A524" s="92"/>
    </row>
    <row r="525" spans="1:1" ht="15.75" customHeight="1" x14ac:dyDescent="0.45">
      <c r="A525" s="92"/>
    </row>
    <row r="526" spans="1:1" ht="15.75" customHeight="1" x14ac:dyDescent="0.45">
      <c r="A526" s="92"/>
    </row>
    <row r="527" spans="1:1" ht="15.75" customHeight="1" x14ac:dyDescent="0.45">
      <c r="A527" s="92"/>
    </row>
    <row r="528" spans="1:1" ht="15.75" customHeight="1" x14ac:dyDescent="0.45">
      <c r="A528" s="92"/>
    </row>
    <row r="529" spans="1:1" ht="15.75" customHeight="1" x14ac:dyDescent="0.45">
      <c r="A529" s="92"/>
    </row>
    <row r="530" spans="1:1" ht="15.75" customHeight="1" x14ac:dyDescent="0.45">
      <c r="A530" s="92"/>
    </row>
    <row r="531" spans="1:1" ht="15.75" customHeight="1" x14ac:dyDescent="0.45">
      <c r="A531" s="92"/>
    </row>
    <row r="532" spans="1:1" ht="15.75" customHeight="1" x14ac:dyDescent="0.45">
      <c r="A532" s="92"/>
    </row>
    <row r="533" spans="1:1" ht="15.75" customHeight="1" x14ac:dyDescent="0.45">
      <c r="A533" s="92"/>
    </row>
    <row r="534" spans="1:1" ht="15.75" customHeight="1" x14ac:dyDescent="0.45">
      <c r="A534" s="92"/>
    </row>
    <row r="535" spans="1:1" ht="15.75" customHeight="1" x14ac:dyDescent="0.45">
      <c r="A535" s="92"/>
    </row>
    <row r="536" spans="1:1" ht="15.75" customHeight="1" x14ac:dyDescent="0.45">
      <c r="A536" s="92"/>
    </row>
    <row r="537" spans="1:1" ht="15.75" customHeight="1" x14ac:dyDescent="0.45">
      <c r="A537" s="92"/>
    </row>
    <row r="538" spans="1:1" ht="15.75" customHeight="1" x14ac:dyDescent="0.45">
      <c r="A538" s="92"/>
    </row>
    <row r="539" spans="1:1" ht="15.75" customHeight="1" x14ac:dyDescent="0.45">
      <c r="A539" s="92"/>
    </row>
    <row r="540" spans="1:1" ht="15.75" customHeight="1" x14ac:dyDescent="0.45">
      <c r="A540" s="92"/>
    </row>
    <row r="541" spans="1:1" ht="15.75" customHeight="1" x14ac:dyDescent="0.45">
      <c r="A541" s="92"/>
    </row>
    <row r="542" spans="1:1" ht="15.75" customHeight="1" x14ac:dyDescent="0.45">
      <c r="A542" s="92"/>
    </row>
    <row r="543" spans="1:1" ht="15.75" customHeight="1" x14ac:dyDescent="0.45">
      <c r="A543" s="92"/>
    </row>
    <row r="544" spans="1:1" ht="15.75" customHeight="1" x14ac:dyDescent="0.45">
      <c r="A544" s="92"/>
    </row>
    <row r="545" spans="1:1" ht="15.75" customHeight="1" x14ac:dyDescent="0.45">
      <c r="A545" s="92"/>
    </row>
    <row r="546" spans="1:1" ht="15.75" customHeight="1" x14ac:dyDescent="0.45">
      <c r="A546" s="92"/>
    </row>
    <row r="547" spans="1:1" ht="15.75" customHeight="1" x14ac:dyDescent="0.45">
      <c r="A547" s="92"/>
    </row>
    <row r="548" spans="1:1" ht="15.75" customHeight="1" x14ac:dyDescent="0.45">
      <c r="A548" s="92"/>
    </row>
    <row r="549" spans="1:1" ht="15.75" customHeight="1" x14ac:dyDescent="0.45">
      <c r="A549" s="92"/>
    </row>
    <row r="550" spans="1:1" ht="15.75" customHeight="1" x14ac:dyDescent="0.45">
      <c r="A550" s="92"/>
    </row>
    <row r="551" spans="1:1" ht="15.75" customHeight="1" x14ac:dyDescent="0.45">
      <c r="A551" s="92"/>
    </row>
    <row r="552" spans="1:1" ht="15.75" customHeight="1" x14ac:dyDescent="0.45">
      <c r="A552" s="92"/>
    </row>
    <row r="553" spans="1:1" ht="15.75" customHeight="1" x14ac:dyDescent="0.45">
      <c r="A553" s="92"/>
    </row>
    <row r="554" spans="1:1" ht="15.75" customHeight="1" x14ac:dyDescent="0.45">
      <c r="A554" s="92"/>
    </row>
    <row r="555" spans="1:1" ht="15.75" customHeight="1" x14ac:dyDescent="0.45">
      <c r="A555" s="92"/>
    </row>
    <row r="556" spans="1:1" ht="15.75" customHeight="1" x14ac:dyDescent="0.45">
      <c r="A556" s="92"/>
    </row>
    <row r="557" spans="1:1" ht="15.75" customHeight="1" x14ac:dyDescent="0.45">
      <c r="A557" s="92"/>
    </row>
    <row r="558" spans="1:1" ht="15.75" customHeight="1" x14ac:dyDescent="0.45">
      <c r="A558" s="92"/>
    </row>
    <row r="559" spans="1:1" ht="15.75" customHeight="1" x14ac:dyDescent="0.45">
      <c r="A559" s="92"/>
    </row>
    <row r="560" spans="1:1" ht="15.75" customHeight="1" x14ac:dyDescent="0.45">
      <c r="A560" s="92"/>
    </row>
    <row r="561" spans="1:1" ht="15.75" customHeight="1" x14ac:dyDescent="0.45">
      <c r="A561" s="92"/>
    </row>
    <row r="562" spans="1:1" ht="15.75" customHeight="1" x14ac:dyDescent="0.45">
      <c r="A562" s="92"/>
    </row>
    <row r="563" spans="1:1" ht="15.75" customHeight="1" x14ac:dyDescent="0.45">
      <c r="A563" s="92"/>
    </row>
    <row r="564" spans="1:1" ht="15.75" customHeight="1" x14ac:dyDescent="0.45">
      <c r="A564" s="92"/>
    </row>
    <row r="565" spans="1:1" ht="15.75" customHeight="1" x14ac:dyDescent="0.45">
      <c r="A565" s="92"/>
    </row>
    <row r="566" spans="1:1" ht="15.75" customHeight="1" x14ac:dyDescent="0.45">
      <c r="A566" s="92"/>
    </row>
    <row r="567" spans="1:1" ht="15.75" customHeight="1" x14ac:dyDescent="0.45">
      <c r="A567" s="92"/>
    </row>
    <row r="568" spans="1:1" ht="15.75" customHeight="1" x14ac:dyDescent="0.45">
      <c r="A568" s="92"/>
    </row>
    <row r="569" spans="1:1" ht="15.75" customHeight="1" x14ac:dyDescent="0.45">
      <c r="A569" s="92"/>
    </row>
    <row r="570" spans="1:1" ht="15.75" customHeight="1" x14ac:dyDescent="0.45">
      <c r="A570" s="92"/>
    </row>
    <row r="571" spans="1:1" ht="15.75" customHeight="1" x14ac:dyDescent="0.45">
      <c r="A571" s="92"/>
    </row>
    <row r="572" spans="1:1" ht="15.75" customHeight="1" x14ac:dyDescent="0.45">
      <c r="A572" s="92"/>
    </row>
    <row r="573" spans="1:1" ht="15.75" customHeight="1" x14ac:dyDescent="0.45">
      <c r="A573" s="92"/>
    </row>
    <row r="574" spans="1:1" ht="15.75" customHeight="1" x14ac:dyDescent="0.45">
      <c r="A574" s="92"/>
    </row>
    <row r="575" spans="1:1" ht="15.75" customHeight="1" x14ac:dyDescent="0.45">
      <c r="A575" s="92"/>
    </row>
    <row r="576" spans="1:1" ht="15.75" customHeight="1" x14ac:dyDescent="0.45">
      <c r="A576" s="92"/>
    </row>
    <row r="577" spans="1:1" ht="15.75" customHeight="1" x14ac:dyDescent="0.45">
      <c r="A577" s="92"/>
    </row>
    <row r="578" spans="1:1" ht="15.75" customHeight="1" x14ac:dyDescent="0.45">
      <c r="A578" s="92"/>
    </row>
    <row r="579" spans="1:1" ht="15.75" customHeight="1" x14ac:dyDescent="0.45">
      <c r="A579" s="92"/>
    </row>
    <row r="580" spans="1:1" ht="15.75" customHeight="1" x14ac:dyDescent="0.45">
      <c r="A580" s="92"/>
    </row>
    <row r="581" spans="1:1" ht="15.75" customHeight="1" x14ac:dyDescent="0.45">
      <c r="A581" s="92"/>
    </row>
    <row r="582" spans="1:1" ht="15.75" customHeight="1" x14ac:dyDescent="0.45">
      <c r="A582" s="92"/>
    </row>
    <row r="583" spans="1:1" ht="15.75" customHeight="1" x14ac:dyDescent="0.45">
      <c r="A583" s="92"/>
    </row>
    <row r="584" spans="1:1" ht="15.75" customHeight="1" x14ac:dyDescent="0.45">
      <c r="A584" s="92"/>
    </row>
    <row r="585" spans="1:1" ht="15.75" customHeight="1" x14ac:dyDescent="0.45">
      <c r="A585" s="92"/>
    </row>
    <row r="586" spans="1:1" ht="15.75" customHeight="1" x14ac:dyDescent="0.45">
      <c r="A586" s="92"/>
    </row>
    <row r="587" spans="1:1" ht="15.75" customHeight="1" x14ac:dyDescent="0.45">
      <c r="A587" s="92"/>
    </row>
    <row r="588" spans="1:1" ht="15.75" customHeight="1" x14ac:dyDescent="0.45">
      <c r="A588" s="92"/>
    </row>
    <row r="589" spans="1:1" ht="15.75" customHeight="1" x14ac:dyDescent="0.45">
      <c r="A589" s="92"/>
    </row>
    <row r="590" spans="1:1" ht="15.75" customHeight="1" x14ac:dyDescent="0.45">
      <c r="A590" s="92"/>
    </row>
    <row r="591" spans="1:1" ht="15.75" customHeight="1" x14ac:dyDescent="0.45">
      <c r="A591" s="92"/>
    </row>
    <row r="592" spans="1:1" ht="15.75" customHeight="1" x14ac:dyDescent="0.45">
      <c r="A592" s="92"/>
    </row>
    <row r="593" spans="1:1" ht="15.75" customHeight="1" x14ac:dyDescent="0.45">
      <c r="A593" s="92"/>
    </row>
    <row r="594" spans="1:1" ht="15.75" customHeight="1" x14ac:dyDescent="0.45">
      <c r="A594" s="92"/>
    </row>
    <row r="595" spans="1:1" ht="15.75" customHeight="1" x14ac:dyDescent="0.45">
      <c r="A595" s="92"/>
    </row>
    <row r="596" spans="1:1" ht="15.75" customHeight="1" x14ac:dyDescent="0.45">
      <c r="A596" s="92"/>
    </row>
    <row r="597" spans="1:1" ht="15.75" customHeight="1" x14ac:dyDescent="0.45">
      <c r="A597" s="92"/>
    </row>
    <row r="598" spans="1:1" ht="15.75" customHeight="1" x14ac:dyDescent="0.45">
      <c r="A598" s="92"/>
    </row>
    <row r="599" spans="1:1" ht="15.75" customHeight="1" x14ac:dyDescent="0.45">
      <c r="A599" s="92"/>
    </row>
    <row r="600" spans="1:1" ht="15.75" customHeight="1" x14ac:dyDescent="0.45">
      <c r="A600" s="92"/>
    </row>
    <row r="601" spans="1:1" ht="15.75" customHeight="1" x14ac:dyDescent="0.45">
      <c r="A601" s="92"/>
    </row>
    <row r="602" spans="1:1" ht="15.75" customHeight="1" x14ac:dyDescent="0.45">
      <c r="A602" s="92"/>
    </row>
    <row r="603" spans="1:1" ht="15.75" customHeight="1" x14ac:dyDescent="0.45">
      <c r="A603" s="92"/>
    </row>
    <row r="604" spans="1:1" ht="15.75" customHeight="1" x14ac:dyDescent="0.45">
      <c r="A604" s="92"/>
    </row>
    <row r="605" spans="1:1" ht="15.75" customHeight="1" x14ac:dyDescent="0.45">
      <c r="A605" s="92"/>
    </row>
    <row r="606" spans="1:1" ht="15.75" customHeight="1" x14ac:dyDescent="0.45">
      <c r="A606" s="92"/>
    </row>
    <row r="607" spans="1:1" ht="15.75" customHeight="1" x14ac:dyDescent="0.45">
      <c r="A607" s="92"/>
    </row>
    <row r="608" spans="1:1" ht="15.75" customHeight="1" x14ac:dyDescent="0.45">
      <c r="A608" s="92"/>
    </row>
    <row r="609" spans="1:1" ht="15.75" customHeight="1" x14ac:dyDescent="0.45">
      <c r="A609" s="92"/>
    </row>
    <row r="610" spans="1:1" ht="15.75" customHeight="1" x14ac:dyDescent="0.45">
      <c r="A610" s="92"/>
    </row>
    <row r="611" spans="1:1" ht="15.75" customHeight="1" x14ac:dyDescent="0.45">
      <c r="A611" s="92"/>
    </row>
    <row r="612" spans="1:1" ht="15.75" customHeight="1" x14ac:dyDescent="0.45">
      <c r="A612" s="92"/>
    </row>
    <row r="613" spans="1:1" ht="15.75" customHeight="1" x14ac:dyDescent="0.45">
      <c r="A613" s="92"/>
    </row>
    <row r="614" spans="1:1" ht="15.75" customHeight="1" x14ac:dyDescent="0.45">
      <c r="A614" s="92"/>
    </row>
    <row r="615" spans="1:1" ht="15.75" customHeight="1" x14ac:dyDescent="0.45">
      <c r="A615" s="92"/>
    </row>
    <row r="616" spans="1:1" ht="15.75" customHeight="1" x14ac:dyDescent="0.45">
      <c r="A616" s="92"/>
    </row>
    <row r="617" spans="1:1" ht="15.75" customHeight="1" x14ac:dyDescent="0.45">
      <c r="A617" s="92"/>
    </row>
    <row r="618" spans="1:1" ht="15.75" customHeight="1" x14ac:dyDescent="0.45">
      <c r="A618" s="92"/>
    </row>
    <row r="619" spans="1:1" ht="15.75" customHeight="1" x14ac:dyDescent="0.45">
      <c r="A619" s="92"/>
    </row>
    <row r="620" spans="1:1" ht="15.75" customHeight="1" x14ac:dyDescent="0.45">
      <c r="A620" s="92"/>
    </row>
    <row r="621" spans="1:1" ht="15.75" customHeight="1" x14ac:dyDescent="0.45">
      <c r="A621" s="92"/>
    </row>
    <row r="622" spans="1:1" ht="15.75" customHeight="1" x14ac:dyDescent="0.45">
      <c r="A622" s="92"/>
    </row>
    <row r="623" spans="1:1" ht="15.75" customHeight="1" x14ac:dyDescent="0.45">
      <c r="A623" s="92"/>
    </row>
    <row r="624" spans="1:1" ht="15.75" customHeight="1" x14ac:dyDescent="0.45">
      <c r="A624" s="92"/>
    </row>
    <row r="625" spans="1:1" ht="15.75" customHeight="1" x14ac:dyDescent="0.45">
      <c r="A625" s="92"/>
    </row>
    <row r="626" spans="1:1" ht="15.75" customHeight="1" x14ac:dyDescent="0.45">
      <c r="A626" s="92"/>
    </row>
    <row r="627" spans="1:1" ht="15.75" customHeight="1" x14ac:dyDescent="0.45">
      <c r="A627" s="92"/>
    </row>
    <row r="628" spans="1:1" ht="15.75" customHeight="1" x14ac:dyDescent="0.45">
      <c r="A628" s="92"/>
    </row>
    <row r="629" spans="1:1" ht="15.75" customHeight="1" x14ac:dyDescent="0.45">
      <c r="A629" s="92"/>
    </row>
    <row r="630" spans="1:1" ht="15.75" customHeight="1" x14ac:dyDescent="0.45">
      <c r="A630" s="92"/>
    </row>
    <row r="631" spans="1:1" ht="15.75" customHeight="1" x14ac:dyDescent="0.45">
      <c r="A631" s="92"/>
    </row>
    <row r="632" spans="1:1" ht="15.75" customHeight="1" x14ac:dyDescent="0.45">
      <c r="A632" s="92"/>
    </row>
    <row r="633" spans="1:1" ht="15.75" customHeight="1" x14ac:dyDescent="0.45">
      <c r="A633" s="92"/>
    </row>
    <row r="634" spans="1:1" ht="15.75" customHeight="1" x14ac:dyDescent="0.45">
      <c r="A634" s="92"/>
    </row>
    <row r="635" spans="1:1" ht="15.75" customHeight="1" x14ac:dyDescent="0.45">
      <c r="A635" s="92"/>
    </row>
    <row r="636" spans="1:1" ht="15.75" customHeight="1" x14ac:dyDescent="0.45">
      <c r="A636" s="92"/>
    </row>
    <row r="637" spans="1:1" ht="15.75" customHeight="1" x14ac:dyDescent="0.45">
      <c r="A637" s="92"/>
    </row>
    <row r="638" spans="1:1" ht="15.75" customHeight="1" x14ac:dyDescent="0.45">
      <c r="A638" s="92"/>
    </row>
    <row r="639" spans="1:1" ht="15.75" customHeight="1" x14ac:dyDescent="0.45">
      <c r="A639" s="92"/>
    </row>
    <row r="640" spans="1:1" ht="15.75" customHeight="1" x14ac:dyDescent="0.45">
      <c r="A640" s="92"/>
    </row>
    <row r="641" spans="1:1" ht="15.75" customHeight="1" x14ac:dyDescent="0.45">
      <c r="A641" s="92"/>
    </row>
    <row r="642" spans="1:1" ht="15.75" customHeight="1" x14ac:dyDescent="0.45">
      <c r="A642" s="92"/>
    </row>
    <row r="643" spans="1:1" ht="15.75" customHeight="1" x14ac:dyDescent="0.45">
      <c r="A643" s="92"/>
    </row>
    <row r="644" spans="1:1" ht="15.75" customHeight="1" x14ac:dyDescent="0.45">
      <c r="A644" s="92"/>
    </row>
    <row r="645" spans="1:1" ht="15.75" customHeight="1" x14ac:dyDescent="0.45">
      <c r="A645" s="92"/>
    </row>
    <row r="646" spans="1:1" ht="15.75" customHeight="1" x14ac:dyDescent="0.45">
      <c r="A646" s="92"/>
    </row>
    <row r="647" spans="1:1" ht="15.75" customHeight="1" x14ac:dyDescent="0.45">
      <c r="A647" s="92"/>
    </row>
    <row r="648" spans="1:1" ht="15.75" customHeight="1" x14ac:dyDescent="0.45">
      <c r="A648" s="92"/>
    </row>
    <row r="649" spans="1:1" ht="15.75" customHeight="1" x14ac:dyDescent="0.45">
      <c r="A649" s="92"/>
    </row>
    <row r="650" spans="1:1" ht="15.75" customHeight="1" x14ac:dyDescent="0.45">
      <c r="A650" s="92"/>
    </row>
    <row r="651" spans="1:1" ht="15.75" customHeight="1" x14ac:dyDescent="0.45">
      <c r="A651" s="92"/>
    </row>
    <row r="652" spans="1:1" ht="15.75" customHeight="1" x14ac:dyDescent="0.45">
      <c r="A652" s="92"/>
    </row>
    <row r="653" spans="1:1" ht="15.75" customHeight="1" x14ac:dyDescent="0.45">
      <c r="A653" s="92"/>
    </row>
    <row r="654" spans="1:1" ht="15.75" customHeight="1" x14ac:dyDescent="0.45">
      <c r="A654" s="92"/>
    </row>
    <row r="655" spans="1:1" ht="15.75" customHeight="1" x14ac:dyDescent="0.45">
      <c r="A655" s="92"/>
    </row>
    <row r="656" spans="1:1" ht="15.75" customHeight="1" x14ac:dyDescent="0.45">
      <c r="A656" s="92"/>
    </row>
    <row r="657" spans="1:1" ht="15.75" customHeight="1" x14ac:dyDescent="0.45">
      <c r="A657" s="92"/>
    </row>
    <row r="658" spans="1:1" ht="15.75" customHeight="1" x14ac:dyDescent="0.45">
      <c r="A658" s="92"/>
    </row>
    <row r="659" spans="1:1" ht="15.75" customHeight="1" x14ac:dyDescent="0.45">
      <c r="A659" s="92"/>
    </row>
    <row r="660" spans="1:1" ht="15.75" customHeight="1" x14ac:dyDescent="0.45">
      <c r="A660" s="92"/>
    </row>
    <row r="661" spans="1:1" ht="15.75" customHeight="1" x14ac:dyDescent="0.45">
      <c r="A661" s="92"/>
    </row>
    <row r="662" spans="1:1" ht="15.75" customHeight="1" x14ac:dyDescent="0.45">
      <c r="A662" s="92"/>
    </row>
    <row r="663" spans="1:1" ht="15.75" customHeight="1" x14ac:dyDescent="0.45">
      <c r="A663" s="92"/>
    </row>
    <row r="664" spans="1:1" ht="15.75" customHeight="1" x14ac:dyDescent="0.45">
      <c r="A664" s="92"/>
    </row>
    <row r="665" spans="1:1" ht="15.75" customHeight="1" x14ac:dyDescent="0.45">
      <c r="A665" s="92"/>
    </row>
    <row r="666" spans="1:1" ht="15.75" customHeight="1" x14ac:dyDescent="0.45">
      <c r="A666" s="92"/>
    </row>
    <row r="667" spans="1:1" ht="15.75" customHeight="1" x14ac:dyDescent="0.45">
      <c r="A667" s="92"/>
    </row>
    <row r="668" spans="1:1" ht="15.75" customHeight="1" x14ac:dyDescent="0.45">
      <c r="A668" s="92"/>
    </row>
    <row r="669" spans="1:1" ht="15.75" customHeight="1" x14ac:dyDescent="0.45">
      <c r="A669" s="92"/>
    </row>
    <row r="670" spans="1:1" ht="15.75" customHeight="1" x14ac:dyDescent="0.45">
      <c r="A670" s="92"/>
    </row>
    <row r="671" spans="1:1" ht="15.75" customHeight="1" x14ac:dyDescent="0.45">
      <c r="A671" s="92"/>
    </row>
    <row r="672" spans="1:1" ht="15.75" customHeight="1" x14ac:dyDescent="0.45">
      <c r="A672" s="92"/>
    </row>
    <row r="673" spans="1:1" ht="15.75" customHeight="1" x14ac:dyDescent="0.45">
      <c r="A673" s="92"/>
    </row>
    <row r="674" spans="1:1" ht="15.75" customHeight="1" x14ac:dyDescent="0.45">
      <c r="A674" s="92"/>
    </row>
    <row r="675" spans="1:1" ht="15.75" customHeight="1" x14ac:dyDescent="0.45">
      <c r="A675" s="92"/>
    </row>
    <row r="676" spans="1:1" ht="15.75" customHeight="1" x14ac:dyDescent="0.45">
      <c r="A676" s="92"/>
    </row>
    <row r="677" spans="1:1" ht="15.75" customHeight="1" x14ac:dyDescent="0.45">
      <c r="A677" s="92"/>
    </row>
    <row r="678" spans="1:1" ht="15.75" customHeight="1" x14ac:dyDescent="0.45">
      <c r="A678" s="92"/>
    </row>
    <row r="679" spans="1:1" ht="15.75" customHeight="1" x14ac:dyDescent="0.45">
      <c r="A679" s="92"/>
    </row>
    <row r="680" spans="1:1" ht="15.75" customHeight="1" x14ac:dyDescent="0.45">
      <c r="A680" s="92"/>
    </row>
    <row r="681" spans="1:1" ht="15.75" customHeight="1" x14ac:dyDescent="0.45">
      <c r="A681" s="92"/>
    </row>
    <row r="682" spans="1:1" ht="15.75" customHeight="1" x14ac:dyDescent="0.45">
      <c r="A682" s="92"/>
    </row>
    <row r="683" spans="1:1" ht="15.75" customHeight="1" x14ac:dyDescent="0.45">
      <c r="A683" s="92"/>
    </row>
    <row r="684" spans="1:1" ht="15.75" customHeight="1" x14ac:dyDescent="0.45">
      <c r="A684" s="92"/>
    </row>
    <row r="685" spans="1:1" ht="15.75" customHeight="1" x14ac:dyDescent="0.45">
      <c r="A685" s="92"/>
    </row>
    <row r="686" spans="1:1" ht="15.75" customHeight="1" x14ac:dyDescent="0.45">
      <c r="A686" s="92"/>
    </row>
    <row r="687" spans="1:1" ht="15.75" customHeight="1" x14ac:dyDescent="0.45">
      <c r="A687" s="92"/>
    </row>
    <row r="688" spans="1:1" ht="15.75" customHeight="1" x14ac:dyDescent="0.45">
      <c r="A688" s="92"/>
    </row>
    <row r="689" spans="1:1" ht="15.75" customHeight="1" x14ac:dyDescent="0.45">
      <c r="A689" s="92"/>
    </row>
    <row r="690" spans="1:1" ht="15.75" customHeight="1" x14ac:dyDescent="0.45">
      <c r="A690" s="92"/>
    </row>
    <row r="691" spans="1:1" ht="15.75" customHeight="1" x14ac:dyDescent="0.45">
      <c r="A691" s="92"/>
    </row>
    <row r="692" spans="1:1" ht="15.75" customHeight="1" x14ac:dyDescent="0.45">
      <c r="A692" s="92"/>
    </row>
    <row r="693" spans="1:1" ht="15.75" customHeight="1" x14ac:dyDescent="0.45">
      <c r="A693" s="92"/>
    </row>
    <row r="694" spans="1:1" ht="15.75" customHeight="1" x14ac:dyDescent="0.45">
      <c r="A694" s="92"/>
    </row>
    <row r="695" spans="1:1" ht="15.75" customHeight="1" x14ac:dyDescent="0.45">
      <c r="A695" s="92"/>
    </row>
    <row r="696" spans="1:1" ht="15.75" customHeight="1" x14ac:dyDescent="0.45">
      <c r="A696" s="92"/>
    </row>
    <row r="697" spans="1:1" ht="15.75" customHeight="1" x14ac:dyDescent="0.45">
      <c r="A697" s="92"/>
    </row>
    <row r="698" spans="1:1" ht="15.75" customHeight="1" x14ac:dyDescent="0.45">
      <c r="A698" s="92"/>
    </row>
    <row r="699" spans="1:1" ht="15.75" customHeight="1" x14ac:dyDescent="0.45">
      <c r="A699" s="92"/>
    </row>
    <row r="700" spans="1:1" ht="15.75" customHeight="1" x14ac:dyDescent="0.45">
      <c r="A700" s="92"/>
    </row>
    <row r="701" spans="1:1" ht="15.75" customHeight="1" x14ac:dyDescent="0.45">
      <c r="A701" s="92"/>
    </row>
    <row r="702" spans="1:1" ht="15.75" customHeight="1" x14ac:dyDescent="0.45">
      <c r="A702" s="92"/>
    </row>
    <row r="703" spans="1:1" ht="15.75" customHeight="1" x14ac:dyDescent="0.45">
      <c r="A703" s="92"/>
    </row>
    <row r="704" spans="1:1" ht="15.75" customHeight="1" x14ac:dyDescent="0.45">
      <c r="A704" s="92"/>
    </row>
    <row r="705" spans="1:1" ht="15.75" customHeight="1" x14ac:dyDescent="0.45">
      <c r="A705" s="92"/>
    </row>
    <row r="706" spans="1:1" ht="15.75" customHeight="1" x14ac:dyDescent="0.45">
      <c r="A706" s="92"/>
    </row>
    <row r="707" spans="1:1" ht="15.75" customHeight="1" x14ac:dyDescent="0.45">
      <c r="A707" s="92"/>
    </row>
    <row r="708" spans="1:1" ht="15.75" customHeight="1" x14ac:dyDescent="0.45">
      <c r="A708" s="92"/>
    </row>
    <row r="709" spans="1:1" ht="15.75" customHeight="1" x14ac:dyDescent="0.45">
      <c r="A709" s="92"/>
    </row>
    <row r="710" spans="1:1" ht="15.75" customHeight="1" x14ac:dyDescent="0.45">
      <c r="A710" s="92"/>
    </row>
    <row r="711" spans="1:1" ht="15.75" customHeight="1" x14ac:dyDescent="0.45">
      <c r="A711" s="92"/>
    </row>
    <row r="712" spans="1:1" ht="15.75" customHeight="1" x14ac:dyDescent="0.45">
      <c r="A712" s="92"/>
    </row>
    <row r="713" spans="1:1" ht="15.75" customHeight="1" x14ac:dyDescent="0.45">
      <c r="A713" s="92"/>
    </row>
    <row r="714" spans="1:1" ht="15.75" customHeight="1" x14ac:dyDescent="0.45">
      <c r="A714" s="92"/>
    </row>
    <row r="715" spans="1:1" ht="15.75" customHeight="1" x14ac:dyDescent="0.45">
      <c r="A715" s="92"/>
    </row>
    <row r="716" spans="1:1" ht="15.75" customHeight="1" x14ac:dyDescent="0.45">
      <c r="A716" s="92"/>
    </row>
    <row r="717" spans="1:1" ht="15.75" customHeight="1" x14ac:dyDescent="0.45">
      <c r="A717" s="92"/>
    </row>
    <row r="718" spans="1:1" ht="15.75" customHeight="1" x14ac:dyDescent="0.45">
      <c r="A718" s="92"/>
    </row>
    <row r="719" spans="1:1" ht="15.75" customHeight="1" x14ac:dyDescent="0.45">
      <c r="A719" s="92"/>
    </row>
    <row r="720" spans="1:1" ht="15.75" customHeight="1" x14ac:dyDescent="0.45">
      <c r="A720" s="92"/>
    </row>
    <row r="721" spans="1:1" ht="15.75" customHeight="1" x14ac:dyDescent="0.45">
      <c r="A721" s="92"/>
    </row>
    <row r="722" spans="1:1" ht="15.75" customHeight="1" x14ac:dyDescent="0.45">
      <c r="A722" s="92"/>
    </row>
    <row r="723" spans="1:1" ht="15.75" customHeight="1" x14ac:dyDescent="0.45">
      <c r="A723" s="92"/>
    </row>
    <row r="724" spans="1:1" ht="15.75" customHeight="1" x14ac:dyDescent="0.45">
      <c r="A724" s="92"/>
    </row>
    <row r="725" spans="1:1" ht="15.75" customHeight="1" x14ac:dyDescent="0.45">
      <c r="A725" s="92"/>
    </row>
    <row r="726" spans="1:1" ht="15.75" customHeight="1" x14ac:dyDescent="0.45">
      <c r="A726" s="92"/>
    </row>
    <row r="727" spans="1:1" ht="15.75" customHeight="1" x14ac:dyDescent="0.45">
      <c r="A727" s="92"/>
    </row>
    <row r="728" spans="1:1" ht="15.75" customHeight="1" x14ac:dyDescent="0.45">
      <c r="A728" s="92"/>
    </row>
    <row r="729" spans="1:1" ht="15.75" customHeight="1" x14ac:dyDescent="0.45">
      <c r="A729" s="92"/>
    </row>
    <row r="730" spans="1:1" ht="15.75" customHeight="1" x14ac:dyDescent="0.45">
      <c r="A730" s="92"/>
    </row>
    <row r="731" spans="1:1" ht="15.75" customHeight="1" x14ac:dyDescent="0.45">
      <c r="A731" s="92"/>
    </row>
    <row r="732" spans="1:1" ht="15.75" customHeight="1" x14ac:dyDescent="0.45">
      <c r="A732" s="92"/>
    </row>
    <row r="733" spans="1:1" ht="15.75" customHeight="1" x14ac:dyDescent="0.45">
      <c r="A733" s="92"/>
    </row>
    <row r="734" spans="1:1" ht="15.75" customHeight="1" x14ac:dyDescent="0.45">
      <c r="A734" s="92"/>
    </row>
    <row r="735" spans="1:1" ht="15.75" customHeight="1" x14ac:dyDescent="0.45">
      <c r="A735" s="92"/>
    </row>
    <row r="736" spans="1:1" ht="15.75" customHeight="1" x14ac:dyDescent="0.45">
      <c r="A736" s="92"/>
    </row>
    <row r="737" spans="1:1" ht="15.75" customHeight="1" x14ac:dyDescent="0.45">
      <c r="A737" s="92"/>
    </row>
    <row r="738" spans="1:1" ht="15.75" customHeight="1" x14ac:dyDescent="0.45">
      <c r="A738" s="92"/>
    </row>
    <row r="739" spans="1:1" ht="15.75" customHeight="1" x14ac:dyDescent="0.45">
      <c r="A739" s="92"/>
    </row>
    <row r="740" spans="1:1" ht="15.75" customHeight="1" x14ac:dyDescent="0.45">
      <c r="A740" s="92"/>
    </row>
    <row r="741" spans="1:1" ht="15.75" customHeight="1" x14ac:dyDescent="0.45">
      <c r="A741" s="92"/>
    </row>
    <row r="742" spans="1:1" ht="15.75" customHeight="1" x14ac:dyDescent="0.45">
      <c r="A742" s="92"/>
    </row>
    <row r="743" spans="1:1" ht="15.75" customHeight="1" x14ac:dyDescent="0.45">
      <c r="A743" s="92"/>
    </row>
    <row r="744" spans="1:1" ht="15.75" customHeight="1" x14ac:dyDescent="0.45">
      <c r="A744" s="92"/>
    </row>
    <row r="745" spans="1:1" ht="15.75" customHeight="1" x14ac:dyDescent="0.45">
      <c r="A745" s="92"/>
    </row>
    <row r="746" spans="1:1" ht="15.75" customHeight="1" x14ac:dyDescent="0.45">
      <c r="A746" s="92"/>
    </row>
    <row r="747" spans="1:1" ht="15.75" customHeight="1" x14ac:dyDescent="0.45">
      <c r="A747" s="92"/>
    </row>
    <row r="748" spans="1:1" ht="15.75" customHeight="1" x14ac:dyDescent="0.45">
      <c r="A748" s="92"/>
    </row>
    <row r="749" spans="1:1" ht="15.75" customHeight="1" x14ac:dyDescent="0.45">
      <c r="A749" s="92"/>
    </row>
    <row r="750" spans="1:1" ht="15.75" customHeight="1" x14ac:dyDescent="0.45">
      <c r="A750" s="92"/>
    </row>
    <row r="751" spans="1:1" ht="15.75" customHeight="1" x14ac:dyDescent="0.45">
      <c r="A751" s="92"/>
    </row>
    <row r="752" spans="1:1" ht="15.75" customHeight="1" x14ac:dyDescent="0.45">
      <c r="A752" s="92"/>
    </row>
    <row r="753" spans="1:1" ht="15.75" customHeight="1" x14ac:dyDescent="0.45">
      <c r="A753" s="92"/>
    </row>
    <row r="754" spans="1:1" ht="15.75" customHeight="1" x14ac:dyDescent="0.45">
      <c r="A754" s="92"/>
    </row>
    <row r="755" spans="1:1" ht="15.75" customHeight="1" x14ac:dyDescent="0.45">
      <c r="A755" s="92"/>
    </row>
    <row r="756" spans="1:1" ht="15.75" customHeight="1" x14ac:dyDescent="0.45">
      <c r="A756" s="92"/>
    </row>
    <row r="757" spans="1:1" ht="15.75" customHeight="1" x14ac:dyDescent="0.45">
      <c r="A757" s="92"/>
    </row>
    <row r="758" spans="1:1" ht="15.75" customHeight="1" x14ac:dyDescent="0.45">
      <c r="A758" s="92"/>
    </row>
    <row r="759" spans="1:1" ht="15.75" customHeight="1" x14ac:dyDescent="0.45">
      <c r="A759" s="92"/>
    </row>
    <row r="760" spans="1:1" ht="15.75" customHeight="1" x14ac:dyDescent="0.45">
      <c r="A760" s="92"/>
    </row>
    <row r="761" spans="1:1" ht="15.75" customHeight="1" x14ac:dyDescent="0.45">
      <c r="A761" s="92"/>
    </row>
    <row r="762" spans="1:1" ht="15.75" customHeight="1" x14ac:dyDescent="0.45">
      <c r="A762" s="92"/>
    </row>
    <row r="763" spans="1:1" ht="15.75" customHeight="1" x14ac:dyDescent="0.45">
      <c r="A763" s="92"/>
    </row>
    <row r="764" spans="1:1" ht="15.75" customHeight="1" x14ac:dyDescent="0.45">
      <c r="A764" s="92"/>
    </row>
    <row r="765" spans="1:1" ht="15.75" customHeight="1" x14ac:dyDescent="0.45">
      <c r="A765" s="92"/>
    </row>
    <row r="766" spans="1:1" ht="15.75" customHeight="1" x14ac:dyDescent="0.45">
      <c r="A766" s="92"/>
    </row>
    <row r="767" spans="1:1" ht="15.75" customHeight="1" x14ac:dyDescent="0.45">
      <c r="A767" s="92"/>
    </row>
    <row r="768" spans="1:1" ht="15.75" customHeight="1" x14ac:dyDescent="0.45">
      <c r="A768" s="92"/>
    </row>
    <row r="769" spans="1:1" ht="15.75" customHeight="1" x14ac:dyDescent="0.45">
      <c r="A769" s="92"/>
    </row>
    <row r="770" spans="1:1" ht="15.75" customHeight="1" x14ac:dyDescent="0.45">
      <c r="A770" s="92"/>
    </row>
    <row r="771" spans="1:1" ht="15.75" customHeight="1" x14ac:dyDescent="0.45">
      <c r="A771" s="92"/>
    </row>
    <row r="772" spans="1:1" ht="15.75" customHeight="1" x14ac:dyDescent="0.45">
      <c r="A772" s="92"/>
    </row>
    <row r="773" spans="1:1" ht="15.75" customHeight="1" x14ac:dyDescent="0.45">
      <c r="A773" s="92"/>
    </row>
    <row r="774" spans="1:1" ht="15.75" customHeight="1" x14ac:dyDescent="0.45">
      <c r="A774" s="92"/>
    </row>
    <row r="775" spans="1:1" ht="15.75" customHeight="1" x14ac:dyDescent="0.45">
      <c r="A775" s="92"/>
    </row>
    <row r="776" spans="1:1" ht="15.75" customHeight="1" x14ac:dyDescent="0.45">
      <c r="A776" s="92"/>
    </row>
    <row r="777" spans="1:1" ht="15.75" customHeight="1" x14ac:dyDescent="0.45">
      <c r="A777" s="92"/>
    </row>
    <row r="778" spans="1:1" ht="15.75" customHeight="1" x14ac:dyDescent="0.45">
      <c r="A778" s="92"/>
    </row>
    <row r="779" spans="1:1" ht="15.75" customHeight="1" x14ac:dyDescent="0.45">
      <c r="A779" s="92"/>
    </row>
    <row r="780" spans="1:1" ht="15.75" customHeight="1" x14ac:dyDescent="0.45">
      <c r="A780" s="92"/>
    </row>
    <row r="781" spans="1:1" ht="15.75" customHeight="1" x14ac:dyDescent="0.45">
      <c r="A781" s="92"/>
    </row>
    <row r="782" spans="1:1" ht="15.75" customHeight="1" x14ac:dyDescent="0.45">
      <c r="A782" s="92"/>
    </row>
    <row r="783" spans="1:1" ht="15.75" customHeight="1" x14ac:dyDescent="0.45">
      <c r="A783" s="92"/>
    </row>
    <row r="784" spans="1:1" ht="15.75" customHeight="1" x14ac:dyDescent="0.45">
      <c r="A784" s="92"/>
    </row>
    <row r="785" spans="1:1" ht="15.75" customHeight="1" x14ac:dyDescent="0.45">
      <c r="A785" s="92"/>
    </row>
    <row r="786" spans="1:1" ht="15.75" customHeight="1" x14ac:dyDescent="0.45">
      <c r="A786" s="92"/>
    </row>
    <row r="787" spans="1:1" ht="15.75" customHeight="1" x14ac:dyDescent="0.45">
      <c r="A787" s="92"/>
    </row>
    <row r="788" spans="1:1" ht="15.75" customHeight="1" x14ac:dyDescent="0.45">
      <c r="A788" s="92"/>
    </row>
    <row r="789" spans="1:1" ht="15.75" customHeight="1" x14ac:dyDescent="0.45">
      <c r="A789" s="92"/>
    </row>
    <row r="790" spans="1:1" ht="15.75" customHeight="1" x14ac:dyDescent="0.45">
      <c r="A790" s="92"/>
    </row>
    <row r="791" spans="1:1" ht="15.75" customHeight="1" x14ac:dyDescent="0.45">
      <c r="A791" s="92"/>
    </row>
    <row r="792" spans="1:1" ht="15.75" customHeight="1" x14ac:dyDescent="0.45">
      <c r="A792" s="92"/>
    </row>
    <row r="793" spans="1:1" ht="15.75" customHeight="1" x14ac:dyDescent="0.45">
      <c r="A793" s="92"/>
    </row>
    <row r="794" spans="1:1" ht="15.75" customHeight="1" x14ac:dyDescent="0.45">
      <c r="A794" s="92"/>
    </row>
    <row r="795" spans="1:1" ht="15.75" customHeight="1" x14ac:dyDescent="0.45">
      <c r="A795" s="92"/>
    </row>
    <row r="796" spans="1:1" ht="15.75" customHeight="1" x14ac:dyDescent="0.45">
      <c r="A796" s="92"/>
    </row>
    <row r="797" spans="1:1" ht="15.75" customHeight="1" x14ac:dyDescent="0.45">
      <c r="A797" s="92"/>
    </row>
    <row r="798" spans="1:1" ht="15.75" customHeight="1" x14ac:dyDescent="0.45">
      <c r="A798" s="92"/>
    </row>
    <row r="799" spans="1:1" ht="15.75" customHeight="1" x14ac:dyDescent="0.45">
      <c r="A799" s="92"/>
    </row>
    <row r="800" spans="1:1" ht="15.75" customHeight="1" x14ac:dyDescent="0.45">
      <c r="A800" s="92"/>
    </row>
    <row r="801" spans="1:1" ht="15.75" customHeight="1" x14ac:dyDescent="0.45">
      <c r="A801" s="92"/>
    </row>
    <row r="802" spans="1:1" ht="15.75" customHeight="1" x14ac:dyDescent="0.45">
      <c r="A802" s="92"/>
    </row>
    <row r="803" spans="1:1" ht="15.75" customHeight="1" x14ac:dyDescent="0.45">
      <c r="A803" s="92"/>
    </row>
    <row r="804" spans="1:1" ht="15.75" customHeight="1" x14ac:dyDescent="0.45">
      <c r="A804" s="92"/>
    </row>
    <row r="805" spans="1:1" ht="15.75" customHeight="1" x14ac:dyDescent="0.45">
      <c r="A805" s="92"/>
    </row>
    <row r="806" spans="1:1" ht="15.75" customHeight="1" x14ac:dyDescent="0.45">
      <c r="A806" s="92"/>
    </row>
    <row r="807" spans="1:1" ht="15.75" customHeight="1" x14ac:dyDescent="0.45">
      <c r="A807" s="92"/>
    </row>
    <row r="808" spans="1:1" ht="15.75" customHeight="1" x14ac:dyDescent="0.45">
      <c r="A808" s="92"/>
    </row>
    <row r="809" spans="1:1" ht="15.75" customHeight="1" x14ac:dyDescent="0.45">
      <c r="A809" s="92"/>
    </row>
    <row r="810" spans="1:1" ht="15.75" customHeight="1" x14ac:dyDescent="0.45">
      <c r="A810" s="92"/>
    </row>
    <row r="811" spans="1:1" ht="15.75" customHeight="1" x14ac:dyDescent="0.45">
      <c r="A811" s="92"/>
    </row>
    <row r="812" spans="1:1" ht="15.75" customHeight="1" x14ac:dyDescent="0.45">
      <c r="A812" s="92"/>
    </row>
    <row r="813" spans="1:1" ht="15.75" customHeight="1" x14ac:dyDescent="0.45">
      <c r="A813" s="92"/>
    </row>
    <row r="814" spans="1:1" ht="15.75" customHeight="1" x14ac:dyDescent="0.45">
      <c r="A814" s="92"/>
    </row>
    <row r="815" spans="1:1" ht="15.75" customHeight="1" x14ac:dyDescent="0.45">
      <c r="A815" s="92"/>
    </row>
    <row r="816" spans="1:1" ht="15.75" customHeight="1" x14ac:dyDescent="0.45">
      <c r="A816" s="92"/>
    </row>
    <row r="817" spans="1:1" ht="15.75" customHeight="1" x14ac:dyDescent="0.45">
      <c r="A817" s="92"/>
    </row>
    <row r="818" spans="1:1" ht="15.75" customHeight="1" x14ac:dyDescent="0.45">
      <c r="A818" s="92"/>
    </row>
    <row r="819" spans="1:1" ht="15.75" customHeight="1" x14ac:dyDescent="0.45">
      <c r="A819" s="92"/>
    </row>
    <row r="820" spans="1:1" ht="15.75" customHeight="1" x14ac:dyDescent="0.45">
      <c r="A820" s="92"/>
    </row>
    <row r="821" spans="1:1" ht="15.75" customHeight="1" x14ac:dyDescent="0.45">
      <c r="A821" s="92"/>
    </row>
    <row r="822" spans="1:1" ht="15.75" customHeight="1" x14ac:dyDescent="0.45">
      <c r="A822" s="92"/>
    </row>
    <row r="823" spans="1:1" ht="15.75" customHeight="1" x14ac:dyDescent="0.45">
      <c r="A823" s="92"/>
    </row>
    <row r="824" spans="1:1" ht="15.75" customHeight="1" x14ac:dyDescent="0.45">
      <c r="A824" s="92"/>
    </row>
    <row r="825" spans="1:1" ht="15.75" customHeight="1" x14ac:dyDescent="0.45">
      <c r="A825" s="92"/>
    </row>
    <row r="826" spans="1:1" ht="15.75" customHeight="1" x14ac:dyDescent="0.45">
      <c r="A826" s="92"/>
    </row>
    <row r="827" spans="1:1" ht="15.75" customHeight="1" x14ac:dyDescent="0.45">
      <c r="A827" s="92"/>
    </row>
    <row r="828" spans="1:1" ht="15.75" customHeight="1" x14ac:dyDescent="0.45">
      <c r="A828" s="92"/>
    </row>
    <row r="829" spans="1:1" ht="15.75" customHeight="1" x14ac:dyDescent="0.45">
      <c r="A829" s="92"/>
    </row>
    <row r="830" spans="1:1" ht="15.75" customHeight="1" x14ac:dyDescent="0.45">
      <c r="A830" s="92"/>
    </row>
    <row r="831" spans="1:1" ht="15.75" customHeight="1" x14ac:dyDescent="0.45">
      <c r="A831" s="92"/>
    </row>
    <row r="832" spans="1:1" ht="15.75" customHeight="1" x14ac:dyDescent="0.45">
      <c r="A832" s="92"/>
    </row>
    <row r="833" spans="1:1" ht="15.75" customHeight="1" x14ac:dyDescent="0.45">
      <c r="A833" s="92"/>
    </row>
    <row r="834" spans="1:1" ht="15.75" customHeight="1" x14ac:dyDescent="0.45">
      <c r="A834" s="92"/>
    </row>
    <row r="835" spans="1:1" ht="15.75" customHeight="1" x14ac:dyDescent="0.45">
      <c r="A835" s="92"/>
    </row>
    <row r="836" spans="1:1" ht="15.75" customHeight="1" x14ac:dyDescent="0.45">
      <c r="A836" s="92"/>
    </row>
    <row r="837" spans="1:1" ht="15.75" customHeight="1" x14ac:dyDescent="0.45">
      <c r="A837" s="92"/>
    </row>
    <row r="838" spans="1:1" ht="15.75" customHeight="1" x14ac:dyDescent="0.45">
      <c r="A838" s="92"/>
    </row>
    <row r="839" spans="1:1" ht="15.75" customHeight="1" x14ac:dyDescent="0.45">
      <c r="A839" s="92"/>
    </row>
    <row r="840" spans="1:1" ht="15.75" customHeight="1" x14ac:dyDescent="0.45">
      <c r="A840" s="92"/>
    </row>
    <row r="841" spans="1:1" ht="15.75" customHeight="1" x14ac:dyDescent="0.45">
      <c r="A841" s="92"/>
    </row>
    <row r="842" spans="1:1" ht="15.75" customHeight="1" x14ac:dyDescent="0.45">
      <c r="A842" s="92"/>
    </row>
    <row r="843" spans="1:1" ht="15.75" customHeight="1" x14ac:dyDescent="0.45">
      <c r="A843" s="92"/>
    </row>
    <row r="844" spans="1:1" ht="15.75" customHeight="1" x14ac:dyDescent="0.45">
      <c r="A844" s="92"/>
    </row>
    <row r="845" spans="1:1" ht="15.75" customHeight="1" x14ac:dyDescent="0.45">
      <c r="A845" s="92"/>
    </row>
    <row r="846" spans="1:1" ht="15.75" customHeight="1" x14ac:dyDescent="0.45">
      <c r="A846" s="92"/>
    </row>
    <row r="847" spans="1:1" ht="15.75" customHeight="1" x14ac:dyDescent="0.45">
      <c r="A847" s="92"/>
    </row>
    <row r="848" spans="1:1" ht="15.75" customHeight="1" x14ac:dyDescent="0.45">
      <c r="A848" s="92"/>
    </row>
    <row r="849" spans="1:1" ht="15.75" customHeight="1" x14ac:dyDescent="0.45">
      <c r="A849" s="92"/>
    </row>
    <row r="850" spans="1:1" ht="15.75" customHeight="1" x14ac:dyDescent="0.45">
      <c r="A850" s="92"/>
    </row>
    <row r="851" spans="1:1" ht="15.75" customHeight="1" x14ac:dyDescent="0.45">
      <c r="A851" s="92"/>
    </row>
    <row r="852" spans="1:1" ht="15.75" customHeight="1" x14ac:dyDescent="0.45">
      <c r="A852" s="92"/>
    </row>
    <row r="853" spans="1:1" ht="15.75" customHeight="1" x14ac:dyDescent="0.45">
      <c r="A853" s="92"/>
    </row>
    <row r="854" spans="1:1" ht="15.75" customHeight="1" x14ac:dyDescent="0.45">
      <c r="A854" s="92"/>
    </row>
    <row r="855" spans="1:1" ht="15.75" customHeight="1" x14ac:dyDescent="0.45">
      <c r="A855" s="92"/>
    </row>
    <row r="856" spans="1:1" ht="15.75" customHeight="1" x14ac:dyDescent="0.45">
      <c r="A856" s="92"/>
    </row>
    <row r="857" spans="1:1" ht="15.75" customHeight="1" x14ac:dyDescent="0.45">
      <c r="A857" s="92"/>
    </row>
    <row r="858" spans="1:1" ht="15.75" customHeight="1" x14ac:dyDescent="0.45">
      <c r="A858" s="92"/>
    </row>
    <row r="859" spans="1:1" ht="15.75" customHeight="1" x14ac:dyDescent="0.45">
      <c r="A859" s="92"/>
    </row>
    <row r="860" spans="1:1" ht="15.75" customHeight="1" x14ac:dyDescent="0.45">
      <c r="A860" s="92"/>
    </row>
    <row r="861" spans="1:1" ht="15.75" customHeight="1" x14ac:dyDescent="0.45">
      <c r="A861" s="92"/>
    </row>
    <row r="862" spans="1:1" ht="15.75" customHeight="1" x14ac:dyDescent="0.45">
      <c r="A862" s="92"/>
    </row>
    <row r="863" spans="1:1" ht="15.75" customHeight="1" x14ac:dyDescent="0.45">
      <c r="A863" s="92"/>
    </row>
    <row r="864" spans="1:1" ht="15.75" customHeight="1" x14ac:dyDescent="0.45">
      <c r="A864" s="92"/>
    </row>
    <row r="865" spans="1:1" ht="15.75" customHeight="1" x14ac:dyDescent="0.45">
      <c r="A865" s="92"/>
    </row>
    <row r="866" spans="1:1" ht="15.75" customHeight="1" x14ac:dyDescent="0.45">
      <c r="A866" s="92"/>
    </row>
    <row r="867" spans="1:1" ht="15.75" customHeight="1" x14ac:dyDescent="0.45">
      <c r="A867" s="92"/>
    </row>
    <row r="868" spans="1:1" ht="15.75" customHeight="1" x14ac:dyDescent="0.45">
      <c r="A868" s="92"/>
    </row>
    <row r="869" spans="1:1" ht="15.75" customHeight="1" x14ac:dyDescent="0.45">
      <c r="A869" s="92"/>
    </row>
    <row r="870" spans="1:1" ht="15.75" customHeight="1" x14ac:dyDescent="0.45">
      <c r="A870" s="92"/>
    </row>
    <row r="871" spans="1:1" ht="15.75" customHeight="1" x14ac:dyDescent="0.45">
      <c r="A871" s="92"/>
    </row>
    <row r="872" spans="1:1" ht="15.75" customHeight="1" x14ac:dyDescent="0.45">
      <c r="A872" s="92"/>
    </row>
    <row r="873" spans="1:1" ht="15.75" customHeight="1" x14ac:dyDescent="0.45">
      <c r="A873" s="92"/>
    </row>
    <row r="874" spans="1:1" ht="15.75" customHeight="1" x14ac:dyDescent="0.45">
      <c r="A874" s="92"/>
    </row>
    <row r="875" spans="1:1" ht="15.75" customHeight="1" x14ac:dyDescent="0.45">
      <c r="A875" s="92"/>
    </row>
    <row r="876" spans="1:1" ht="15.75" customHeight="1" x14ac:dyDescent="0.45">
      <c r="A876" s="92"/>
    </row>
    <row r="877" spans="1:1" ht="15.75" customHeight="1" x14ac:dyDescent="0.45">
      <c r="A877" s="92"/>
    </row>
    <row r="878" spans="1:1" ht="15.75" customHeight="1" x14ac:dyDescent="0.45">
      <c r="A878" s="92"/>
    </row>
    <row r="879" spans="1:1" ht="15.75" customHeight="1" x14ac:dyDescent="0.45">
      <c r="A879" s="92"/>
    </row>
    <row r="880" spans="1:1" ht="15.75" customHeight="1" x14ac:dyDescent="0.45">
      <c r="A880" s="92"/>
    </row>
    <row r="881" spans="1:1" ht="15.75" customHeight="1" x14ac:dyDescent="0.45">
      <c r="A881" s="92"/>
    </row>
    <row r="882" spans="1:1" ht="15.75" customHeight="1" x14ac:dyDescent="0.45">
      <c r="A882" s="92"/>
    </row>
    <row r="883" spans="1:1" ht="15.75" customHeight="1" x14ac:dyDescent="0.45">
      <c r="A883" s="92"/>
    </row>
    <row r="884" spans="1:1" ht="15.75" customHeight="1" x14ac:dyDescent="0.45">
      <c r="A884" s="92"/>
    </row>
    <row r="885" spans="1:1" ht="15.75" customHeight="1" x14ac:dyDescent="0.45">
      <c r="A885" s="92"/>
    </row>
    <row r="886" spans="1:1" ht="15.75" customHeight="1" x14ac:dyDescent="0.45">
      <c r="A886" s="92"/>
    </row>
    <row r="887" spans="1:1" ht="15.75" customHeight="1" x14ac:dyDescent="0.45">
      <c r="A887" s="92"/>
    </row>
    <row r="888" spans="1:1" ht="15.75" customHeight="1" x14ac:dyDescent="0.45">
      <c r="A888" s="92"/>
    </row>
    <row r="889" spans="1:1" ht="15.75" customHeight="1" x14ac:dyDescent="0.45">
      <c r="A889" s="92"/>
    </row>
    <row r="890" spans="1:1" ht="15.75" customHeight="1" x14ac:dyDescent="0.45">
      <c r="A890" s="92"/>
    </row>
    <row r="891" spans="1:1" ht="15.75" customHeight="1" x14ac:dyDescent="0.45">
      <c r="A891" s="92"/>
    </row>
    <row r="892" spans="1:1" ht="15.75" customHeight="1" x14ac:dyDescent="0.45">
      <c r="A892" s="92"/>
    </row>
    <row r="893" spans="1:1" ht="15.75" customHeight="1" x14ac:dyDescent="0.45">
      <c r="A893" s="92"/>
    </row>
    <row r="894" spans="1:1" ht="15.75" customHeight="1" x14ac:dyDescent="0.45">
      <c r="A894" s="92"/>
    </row>
    <row r="895" spans="1:1" ht="15.75" customHeight="1" x14ac:dyDescent="0.45">
      <c r="A895" s="92"/>
    </row>
    <row r="896" spans="1:1" ht="15.75" customHeight="1" x14ac:dyDescent="0.45">
      <c r="A896" s="92"/>
    </row>
    <row r="897" spans="1:1" ht="15.75" customHeight="1" x14ac:dyDescent="0.45">
      <c r="A897" s="92"/>
    </row>
    <row r="898" spans="1:1" ht="15.75" customHeight="1" x14ac:dyDescent="0.45">
      <c r="A898" s="92"/>
    </row>
    <row r="899" spans="1:1" ht="15.75" customHeight="1" x14ac:dyDescent="0.45">
      <c r="A899" s="92"/>
    </row>
    <row r="900" spans="1:1" ht="15.75" customHeight="1" x14ac:dyDescent="0.45">
      <c r="A900" s="92"/>
    </row>
    <row r="901" spans="1:1" ht="15.75" customHeight="1" x14ac:dyDescent="0.45">
      <c r="A901" s="92"/>
    </row>
    <row r="902" spans="1:1" ht="15.75" customHeight="1" x14ac:dyDescent="0.45">
      <c r="A902" s="92"/>
    </row>
    <row r="903" spans="1:1" ht="15.75" customHeight="1" x14ac:dyDescent="0.45">
      <c r="A903" s="92"/>
    </row>
    <row r="904" spans="1:1" ht="15.75" customHeight="1" x14ac:dyDescent="0.45">
      <c r="A904" s="92"/>
    </row>
    <row r="905" spans="1:1" ht="15.75" customHeight="1" x14ac:dyDescent="0.45">
      <c r="A905" s="92"/>
    </row>
    <row r="906" spans="1:1" ht="15.75" customHeight="1" x14ac:dyDescent="0.45">
      <c r="A906" s="92"/>
    </row>
    <row r="907" spans="1:1" ht="15.75" customHeight="1" x14ac:dyDescent="0.45">
      <c r="A907" s="92"/>
    </row>
    <row r="908" spans="1:1" ht="15.75" customHeight="1" x14ac:dyDescent="0.45">
      <c r="A908" s="92"/>
    </row>
    <row r="909" spans="1:1" ht="15.75" customHeight="1" x14ac:dyDescent="0.45">
      <c r="A909" s="92"/>
    </row>
    <row r="910" spans="1:1" ht="15.75" customHeight="1" x14ac:dyDescent="0.45">
      <c r="A910" s="92"/>
    </row>
    <row r="911" spans="1:1" ht="15.75" customHeight="1" x14ac:dyDescent="0.45">
      <c r="A911" s="92"/>
    </row>
    <row r="912" spans="1:1" ht="15.75" customHeight="1" x14ac:dyDescent="0.45">
      <c r="A912" s="92"/>
    </row>
    <row r="913" spans="1:1" ht="15.75" customHeight="1" x14ac:dyDescent="0.45">
      <c r="A913" s="92"/>
    </row>
    <row r="914" spans="1:1" ht="15.75" customHeight="1" x14ac:dyDescent="0.45">
      <c r="A914" s="92"/>
    </row>
    <row r="915" spans="1:1" ht="15.75" customHeight="1" x14ac:dyDescent="0.45">
      <c r="A915" s="92"/>
    </row>
    <row r="916" spans="1:1" ht="15.75" customHeight="1" x14ac:dyDescent="0.45">
      <c r="A916" s="92"/>
    </row>
    <row r="917" spans="1:1" ht="15.75" customHeight="1" x14ac:dyDescent="0.45">
      <c r="A917" s="92"/>
    </row>
    <row r="918" spans="1:1" ht="15.75" customHeight="1" x14ac:dyDescent="0.45">
      <c r="A918" s="92"/>
    </row>
    <row r="919" spans="1:1" ht="15.75" customHeight="1" x14ac:dyDescent="0.45">
      <c r="A919" s="92"/>
    </row>
    <row r="920" spans="1:1" ht="15.75" customHeight="1" x14ac:dyDescent="0.45">
      <c r="A920" s="92"/>
    </row>
    <row r="921" spans="1:1" ht="15.75" customHeight="1" x14ac:dyDescent="0.45">
      <c r="A921" s="92"/>
    </row>
    <row r="922" spans="1:1" ht="15.75" customHeight="1" x14ac:dyDescent="0.45">
      <c r="A922" s="92"/>
    </row>
    <row r="923" spans="1:1" ht="15.75" customHeight="1" x14ac:dyDescent="0.45">
      <c r="A923" s="92"/>
    </row>
    <row r="924" spans="1:1" ht="15.75" customHeight="1" x14ac:dyDescent="0.45">
      <c r="A924" s="92"/>
    </row>
    <row r="925" spans="1:1" ht="15.75" customHeight="1" x14ac:dyDescent="0.45">
      <c r="A925" s="92"/>
    </row>
    <row r="926" spans="1:1" ht="15.75" customHeight="1" x14ac:dyDescent="0.45">
      <c r="A926" s="92"/>
    </row>
    <row r="927" spans="1:1" ht="15.75" customHeight="1" x14ac:dyDescent="0.45">
      <c r="A927" s="92"/>
    </row>
    <row r="928" spans="1:1" ht="15.75" customHeight="1" x14ac:dyDescent="0.45">
      <c r="A928" s="92"/>
    </row>
    <row r="929" spans="1:1" ht="15.75" customHeight="1" x14ac:dyDescent="0.45">
      <c r="A929" s="92"/>
    </row>
    <row r="930" spans="1:1" ht="15.75" customHeight="1" x14ac:dyDescent="0.45">
      <c r="A930" s="92"/>
    </row>
    <row r="931" spans="1:1" ht="15.75" customHeight="1" x14ac:dyDescent="0.45">
      <c r="A931" s="92"/>
    </row>
    <row r="932" spans="1:1" ht="15.75" customHeight="1" x14ac:dyDescent="0.45">
      <c r="A932" s="92"/>
    </row>
    <row r="933" spans="1:1" ht="15.75" customHeight="1" x14ac:dyDescent="0.45">
      <c r="A933" s="92"/>
    </row>
    <row r="934" spans="1:1" ht="15.75" customHeight="1" x14ac:dyDescent="0.45">
      <c r="A934" s="92"/>
    </row>
    <row r="935" spans="1:1" ht="15.75" customHeight="1" x14ac:dyDescent="0.45">
      <c r="A935" s="92"/>
    </row>
    <row r="936" spans="1:1" ht="15.75" customHeight="1" x14ac:dyDescent="0.45">
      <c r="A936" s="92"/>
    </row>
    <row r="937" spans="1:1" ht="15.75" customHeight="1" x14ac:dyDescent="0.45">
      <c r="A937" s="92"/>
    </row>
    <row r="938" spans="1:1" ht="15.75" customHeight="1" x14ac:dyDescent="0.45">
      <c r="A938" s="92"/>
    </row>
    <row r="939" spans="1:1" ht="15.75" customHeight="1" x14ac:dyDescent="0.45">
      <c r="A939" s="92"/>
    </row>
    <row r="940" spans="1:1" ht="15.75" customHeight="1" x14ac:dyDescent="0.45">
      <c r="A940" s="92"/>
    </row>
    <row r="941" spans="1:1" ht="15.75" customHeight="1" x14ac:dyDescent="0.45">
      <c r="A941" s="92"/>
    </row>
    <row r="942" spans="1:1" ht="15.75" customHeight="1" x14ac:dyDescent="0.45">
      <c r="A942" s="92"/>
    </row>
    <row r="943" spans="1:1" ht="15.75" customHeight="1" x14ac:dyDescent="0.45">
      <c r="A943" s="92"/>
    </row>
    <row r="944" spans="1:1" ht="15.75" customHeight="1" x14ac:dyDescent="0.45">
      <c r="A944" s="92"/>
    </row>
    <row r="945" spans="1:1" ht="15.75" customHeight="1" x14ac:dyDescent="0.45">
      <c r="A945" s="92"/>
    </row>
    <row r="946" spans="1:1" ht="15.75" customHeight="1" x14ac:dyDescent="0.45">
      <c r="A946" s="92"/>
    </row>
    <row r="947" spans="1:1" ht="15.75" customHeight="1" x14ac:dyDescent="0.45">
      <c r="A947" s="92"/>
    </row>
    <row r="948" spans="1:1" ht="15.75" customHeight="1" x14ac:dyDescent="0.45">
      <c r="A948" s="92"/>
    </row>
    <row r="949" spans="1:1" ht="15.75" customHeight="1" x14ac:dyDescent="0.45">
      <c r="A949" s="92"/>
    </row>
    <row r="950" spans="1:1" ht="15.75" customHeight="1" x14ac:dyDescent="0.45">
      <c r="A950" s="92"/>
    </row>
    <row r="951" spans="1:1" ht="15.75" customHeight="1" x14ac:dyDescent="0.45">
      <c r="A951" s="92"/>
    </row>
    <row r="952" spans="1:1" ht="15.75" customHeight="1" x14ac:dyDescent="0.45">
      <c r="A952" s="92"/>
    </row>
    <row r="953" spans="1:1" ht="15.75" customHeight="1" x14ac:dyDescent="0.45">
      <c r="A953" s="92"/>
    </row>
    <row r="954" spans="1:1" ht="15.75" customHeight="1" x14ac:dyDescent="0.45">
      <c r="A954" s="92"/>
    </row>
    <row r="955" spans="1:1" ht="15.75" customHeight="1" x14ac:dyDescent="0.45">
      <c r="A955" s="92"/>
    </row>
    <row r="956" spans="1:1" ht="15.75" customHeight="1" x14ac:dyDescent="0.45">
      <c r="A956" s="92"/>
    </row>
    <row r="957" spans="1:1" ht="15.75" customHeight="1" x14ac:dyDescent="0.45">
      <c r="A957" s="92"/>
    </row>
    <row r="958" spans="1:1" ht="15.75" customHeight="1" x14ac:dyDescent="0.45">
      <c r="A958" s="92"/>
    </row>
    <row r="959" spans="1:1" ht="15.75" customHeight="1" x14ac:dyDescent="0.45">
      <c r="A959" s="92"/>
    </row>
    <row r="960" spans="1:1" ht="15.75" customHeight="1" x14ac:dyDescent="0.45">
      <c r="A960" s="92"/>
    </row>
    <row r="961" spans="1:1" ht="15.75" customHeight="1" x14ac:dyDescent="0.45">
      <c r="A961" s="92"/>
    </row>
    <row r="962" spans="1:1" ht="15.75" customHeight="1" x14ac:dyDescent="0.45">
      <c r="A962" s="92"/>
    </row>
    <row r="963" spans="1:1" ht="15.75" customHeight="1" x14ac:dyDescent="0.45">
      <c r="A963" s="92"/>
    </row>
    <row r="964" spans="1:1" ht="15.75" customHeight="1" x14ac:dyDescent="0.45">
      <c r="A964" s="92"/>
    </row>
    <row r="965" spans="1:1" ht="15.75" customHeight="1" x14ac:dyDescent="0.45">
      <c r="A965" s="92"/>
    </row>
    <row r="966" spans="1:1" ht="15.75" customHeight="1" x14ac:dyDescent="0.45">
      <c r="A966" s="92"/>
    </row>
    <row r="967" spans="1:1" ht="15.75" customHeight="1" x14ac:dyDescent="0.45">
      <c r="A967" s="92"/>
    </row>
    <row r="968" spans="1:1" ht="15.75" customHeight="1" x14ac:dyDescent="0.45">
      <c r="A968" s="92"/>
    </row>
    <row r="969" spans="1:1" ht="15.75" customHeight="1" x14ac:dyDescent="0.45">
      <c r="A969" s="92"/>
    </row>
    <row r="970" spans="1:1" ht="15.75" customHeight="1" x14ac:dyDescent="0.45">
      <c r="A970" s="92"/>
    </row>
    <row r="971" spans="1:1" ht="15.75" customHeight="1" x14ac:dyDescent="0.45">
      <c r="A971" s="92"/>
    </row>
    <row r="972" spans="1:1" ht="15.75" customHeight="1" x14ac:dyDescent="0.45">
      <c r="A972" s="92"/>
    </row>
    <row r="973" spans="1:1" ht="15.75" customHeight="1" x14ac:dyDescent="0.45">
      <c r="A973" s="92"/>
    </row>
    <row r="974" spans="1:1" ht="15.75" customHeight="1" x14ac:dyDescent="0.45">
      <c r="A974" s="92"/>
    </row>
    <row r="975" spans="1:1" ht="15.75" customHeight="1" x14ac:dyDescent="0.45">
      <c r="A975" s="92"/>
    </row>
    <row r="976" spans="1:1" ht="15.75" customHeight="1" x14ac:dyDescent="0.45">
      <c r="A976" s="92"/>
    </row>
    <row r="977" spans="1:1" ht="15.75" customHeight="1" x14ac:dyDescent="0.45">
      <c r="A977" s="92"/>
    </row>
    <row r="978" spans="1:1" ht="15.75" customHeight="1" x14ac:dyDescent="0.45">
      <c r="A978" s="92"/>
    </row>
    <row r="979" spans="1:1" ht="15.75" customHeight="1" x14ac:dyDescent="0.45">
      <c r="A979" s="92"/>
    </row>
    <row r="980" spans="1:1" ht="15.75" customHeight="1" x14ac:dyDescent="0.45">
      <c r="A980" s="92"/>
    </row>
    <row r="981" spans="1:1" ht="15.75" customHeight="1" x14ac:dyDescent="0.45">
      <c r="A981" s="92"/>
    </row>
    <row r="982" spans="1:1" ht="15.75" customHeight="1" x14ac:dyDescent="0.45">
      <c r="A982" s="92"/>
    </row>
    <row r="983" spans="1:1" ht="15.75" customHeight="1" x14ac:dyDescent="0.45">
      <c r="A983" s="92"/>
    </row>
    <row r="984" spans="1:1" ht="15.75" customHeight="1" x14ac:dyDescent="0.45">
      <c r="A984" s="92"/>
    </row>
    <row r="985" spans="1:1" ht="15.75" customHeight="1" x14ac:dyDescent="0.45">
      <c r="A985" s="92"/>
    </row>
    <row r="986" spans="1:1" ht="15.75" customHeight="1" x14ac:dyDescent="0.45">
      <c r="A986" s="92"/>
    </row>
    <row r="987" spans="1:1" ht="15.75" customHeight="1" x14ac:dyDescent="0.45">
      <c r="A987" s="92"/>
    </row>
    <row r="988" spans="1:1" ht="15.75" customHeight="1" x14ac:dyDescent="0.45">
      <c r="A988" s="92"/>
    </row>
    <row r="989" spans="1:1" ht="15.75" customHeight="1" x14ac:dyDescent="0.45">
      <c r="A989" s="92"/>
    </row>
    <row r="990" spans="1:1" ht="15.75" customHeight="1" x14ac:dyDescent="0.45">
      <c r="A990" s="92"/>
    </row>
    <row r="991" spans="1:1" ht="15.75" customHeight="1" x14ac:dyDescent="0.45">
      <c r="A991" s="92"/>
    </row>
    <row r="992" spans="1:1" ht="15.75" customHeight="1" x14ac:dyDescent="0.45">
      <c r="A992" s="92"/>
    </row>
    <row r="993" spans="1:1" ht="15.75" customHeight="1" x14ac:dyDescent="0.45">
      <c r="A993" s="92"/>
    </row>
    <row r="994" spans="1:1" ht="15.75" customHeight="1" x14ac:dyDescent="0.45">
      <c r="A994" s="92"/>
    </row>
    <row r="995" spans="1:1" ht="15.75" customHeight="1" x14ac:dyDescent="0.45">
      <c r="A995" s="92"/>
    </row>
    <row r="996" spans="1:1" ht="15.75" customHeight="1" x14ac:dyDescent="0.45">
      <c r="A996" s="92"/>
    </row>
    <row r="997" spans="1:1" ht="15.75" customHeight="1" x14ac:dyDescent="0.45">
      <c r="A997" s="92"/>
    </row>
    <row r="998" spans="1:1" ht="15.75" customHeight="1" x14ac:dyDescent="0.45">
      <c r="A998" s="92"/>
    </row>
    <row r="999" spans="1:1" ht="15.75" customHeight="1" x14ac:dyDescent="0.45">
      <c r="A999" s="92"/>
    </row>
    <row r="1000" spans="1:1" ht="15.75" customHeight="1" x14ac:dyDescent="0.45">
      <c r="A1000" s="92"/>
    </row>
  </sheetData>
  <mergeCells count="10">
    <mergeCell ref="BF2:BM2"/>
    <mergeCell ref="BN2:BU2"/>
    <mergeCell ref="BV2:CC2"/>
    <mergeCell ref="AP2:AW2"/>
    <mergeCell ref="AX2:BE2"/>
    <mergeCell ref="B2:I2"/>
    <mergeCell ref="J2:Q2"/>
    <mergeCell ref="R2:Y2"/>
    <mergeCell ref="Z2:AG2"/>
    <mergeCell ref="AH2:AO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84076-6048-49EC-9328-F7C9D6C14603}">
  <dimension ref="B7:K65"/>
  <sheetViews>
    <sheetView workbookViewId="0">
      <selection sqref="A1:XFD1048576"/>
    </sheetView>
  </sheetViews>
  <sheetFormatPr defaultRowHeight="14.25" x14ac:dyDescent="0.45"/>
  <cols>
    <col min="1" max="1" width="12.86328125" bestFit="1" customWidth="1"/>
    <col min="2" max="2" width="32.59765625" bestFit="1" customWidth="1"/>
    <col min="3" max="3" width="33" bestFit="1" customWidth="1"/>
    <col min="8" max="8" width="12.86328125" bestFit="1" customWidth="1"/>
    <col min="9" max="9" width="32.59765625" bestFit="1" customWidth="1"/>
    <col min="10" max="10" width="33" bestFit="1" customWidth="1"/>
  </cols>
  <sheetData>
    <row r="7" spans="2:10" x14ac:dyDescent="0.45">
      <c r="B7" s="118"/>
      <c r="C7" s="118"/>
      <c r="I7" s="118"/>
      <c r="J7" s="118"/>
    </row>
    <row r="8" spans="2:10" x14ac:dyDescent="0.45">
      <c r="B8" s="118"/>
      <c r="C8" s="118"/>
      <c r="I8" s="118"/>
      <c r="J8" s="118"/>
    </row>
    <row r="9" spans="2:10" x14ac:dyDescent="0.45">
      <c r="B9" s="118"/>
      <c r="C9" s="118"/>
      <c r="I9" s="118"/>
      <c r="J9" s="118"/>
    </row>
    <row r="10" spans="2:10" x14ac:dyDescent="0.45">
      <c r="B10" s="118"/>
      <c r="C10" s="118"/>
      <c r="I10" s="118"/>
      <c r="J10" s="118"/>
    </row>
    <row r="11" spans="2:10" x14ac:dyDescent="0.45">
      <c r="B11" s="118"/>
      <c r="C11" s="118"/>
      <c r="I11" s="118"/>
      <c r="J11" s="118"/>
    </row>
    <row r="12" spans="2:10" x14ac:dyDescent="0.45">
      <c r="B12" s="118"/>
      <c r="C12" s="118"/>
      <c r="I12" s="118"/>
      <c r="J12" s="118"/>
    </row>
    <row r="13" spans="2:10" x14ac:dyDescent="0.45">
      <c r="B13" s="118"/>
      <c r="C13" s="118"/>
      <c r="I13" s="118"/>
      <c r="J13" s="118"/>
    </row>
    <row r="14" spans="2:10" x14ac:dyDescent="0.45">
      <c r="B14" s="118"/>
      <c r="C14" s="118"/>
      <c r="I14" s="118"/>
      <c r="J14" s="118"/>
    </row>
    <row r="15" spans="2:10" x14ac:dyDescent="0.45">
      <c r="B15" s="118"/>
      <c r="C15" s="118"/>
      <c r="I15" s="118"/>
      <c r="J15" s="118"/>
    </row>
    <row r="16" spans="2:10" x14ac:dyDescent="0.45">
      <c r="B16" s="118"/>
      <c r="C16" s="118"/>
      <c r="I16" s="118"/>
      <c r="J16" s="118"/>
    </row>
    <row r="17" spans="2:10" x14ac:dyDescent="0.45">
      <c r="B17" s="118"/>
      <c r="C17" s="118"/>
      <c r="I17" s="118"/>
      <c r="J17" s="118"/>
    </row>
    <row r="18" spans="2:10" x14ac:dyDescent="0.45">
      <c r="B18" s="118"/>
      <c r="C18" s="118"/>
      <c r="I18" s="118"/>
      <c r="J18" s="118"/>
    </row>
    <row r="19" spans="2:10" x14ac:dyDescent="0.45">
      <c r="B19" s="118"/>
      <c r="C19" s="118"/>
      <c r="I19" s="118"/>
      <c r="J19" s="118"/>
    </row>
    <row r="20" spans="2:10" x14ac:dyDescent="0.45">
      <c r="B20" s="118"/>
      <c r="C20" s="118"/>
      <c r="I20" s="118"/>
      <c r="J20" s="118"/>
    </row>
    <row r="21" spans="2:10" x14ac:dyDescent="0.45">
      <c r="B21" s="118"/>
      <c r="C21" s="118"/>
      <c r="I21" s="118"/>
      <c r="J21" s="118"/>
    </row>
    <row r="22" spans="2:10" x14ac:dyDescent="0.45">
      <c r="B22" s="118"/>
      <c r="C22" s="118"/>
      <c r="I22" s="118"/>
      <c r="J22" s="118"/>
    </row>
    <row r="23" spans="2:10" x14ac:dyDescent="0.45">
      <c r="B23" s="118"/>
      <c r="C23" s="118"/>
      <c r="I23" s="118"/>
      <c r="J23" s="118"/>
    </row>
    <row r="24" spans="2:10" x14ac:dyDescent="0.45">
      <c r="B24" s="118"/>
      <c r="C24" s="118"/>
      <c r="I24" s="118"/>
      <c r="J24" s="118"/>
    </row>
    <row r="25" spans="2:10" x14ac:dyDescent="0.45">
      <c r="B25" s="118"/>
      <c r="C25" s="118"/>
      <c r="I25" s="118"/>
      <c r="J25" s="118"/>
    </row>
    <row r="26" spans="2:10" x14ac:dyDescent="0.45">
      <c r="B26" s="118"/>
      <c r="C26" s="118"/>
      <c r="I26" s="118"/>
      <c r="J26" s="118"/>
    </row>
    <row r="27" spans="2:10" x14ac:dyDescent="0.45">
      <c r="B27" s="118"/>
      <c r="C27" s="118"/>
      <c r="I27" s="118"/>
      <c r="J27" s="118"/>
    </row>
    <row r="28" spans="2:10" x14ac:dyDescent="0.45">
      <c r="B28" s="118"/>
      <c r="C28" s="118"/>
      <c r="I28" s="118"/>
      <c r="J28" s="118"/>
    </row>
    <row r="29" spans="2:10" x14ac:dyDescent="0.45">
      <c r="B29" s="118"/>
      <c r="C29" s="118"/>
      <c r="I29" s="118"/>
      <c r="J29" s="118"/>
    </row>
    <row r="30" spans="2:10" x14ac:dyDescent="0.45">
      <c r="B30" s="118"/>
      <c r="C30" s="118"/>
      <c r="I30" s="118"/>
      <c r="J30" s="118"/>
    </row>
    <row r="31" spans="2:10" x14ac:dyDescent="0.45">
      <c r="B31" s="118"/>
      <c r="C31" s="118"/>
      <c r="I31" s="118"/>
      <c r="J31" s="118"/>
    </row>
    <row r="32" spans="2:10" x14ac:dyDescent="0.45">
      <c r="B32" s="118"/>
      <c r="C32" s="118"/>
      <c r="I32" s="118"/>
      <c r="J32" s="118"/>
    </row>
    <row r="33" spans="2:11" x14ac:dyDescent="0.45">
      <c r="B33" s="118"/>
      <c r="C33" s="118"/>
      <c r="I33" s="118"/>
      <c r="J33" s="118"/>
    </row>
    <row r="34" spans="2:11" x14ac:dyDescent="0.45">
      <c r="B34" s="118"/>
      <c r="C34" s="118"/>
      <c r="I34" s="118"/>
      <c r="J34" s="118"/>
    </row>
    <row r="35" spans="2:11" x14ac:dyDescent="0.45">
      <c r="B35" s="118"/>
      <c r="C35" s="118"/>
      <c r="I35" s="118"/>
      <c r="J35" s="118"/>
    </row>
    <row r="36" spans="2:11" x14ac:dyDescent="0.45">
      <c r="B36" s="118"/>
      <c r="C36" s="118"/>
      <c r="I36" s="118"/>
      <c r="J36" s="118"/>
    </row>
    <row r="37" spans="2:11" x14ac:dyDescent="0.45">
      <c r="B37" s="118"/>
      <c r="C37" s="118"/>
      <c r="D37" s="118"/>
      <c r="I37" s="118"/>
      <c r="J37" s="118"/>
    </row>
    <row r="38" spans="2:11" x14ac:dyDescent="0.45">
      <c r="B38" s="118"/>
      <c r="C38" s="118"/>
      <c r="D38" s="118"/>
      <c r="I38" s="118"/>
      <c r="J38" s="118"/>
    </row>
    <row r="39" spans="2:11" x14ac:dyDescent="0.45">
      <c r="B39" s="118"/>
      <c r="C39" s="118"/>
      <c r="D39" s="118"/>
      <c r="I39" s="118"/>
      <c r="J39" s="118"/>
    </row>
    <row r="40" spans="2:11" x14ac:dyDescent="0.45">
      <c r="B40" s="118"/>
      <c r="C40" s="118"/>
      <c r="D40" s="118"/>
      <c r="I40" s="118"/>
      <c r="J40" s="118"/>
    </row>
    <row r="41" spans="2:11" x14ac:dyDescent="0.45">
      <c r="B41" s="118"/>
      <c r="C41" s="118"/>
      <c r="D41" s="118"/>
      <c r="I41" s="118"/>
      <c r="J41" s="118"/>
    </row>
    <row r="42" spans="2:11" x14ac:dyDescent="0.45">
      <c r="B42" s="118"/>
      <c r="C42" s="118"/>
      <c r="D42" s="118"/>
      <c r="I42" s="118"/>
      <c r="J42" s="118"/>
    </row>
    <row r="43" spans="2:11" x14ac:dyDescent="0.45">
      <c r="B43" s="118"/>
      <c r="C43" s="118"/>
      <c r="D43" s="118"/>
      <c r="I43" s="118"/>
      <c r="J43" s="118"/>
    </row>
    <row r="44" spans="2:11" x14ac:dyDescent="0.45">
      <c r="B44" s="118"/>
      <c r="C44" s="118"/>
      <c r="D44" s="118"/>
      <c r="I44" s="118"/>
      <c r="J44" s="118"/>
    </row>
    <row r="45" spans="2:11" x14ac:dyDescent="0.45">
      <c r="B45" s="118"/>
      <c r="C45" s="118"/>
      <c r="D45" s="118"/>
      <c r="I45" s="118"/>
      <c r="J45" s="118"/>
    </row>
    <row r="46" spans="2:11" x14ac:dyDescent="0.45">
      <c r="B46" s="118"/>
      <c r="C46" s="118"/>
      <c r="D46" s="118"/>
      <c r="I46" s="118"/>
      <c r="J46" s="118"/>
    </row>
    <row r="47" spans="2:11" x14ac:dyDescent="0.45">
      <c r="B47" s="118"/>
      <c r="C47" s="118"/>
      <c r="D47" s="118"/>
      <c r="I47" s="118"/>
      <c r="J47" s="118"/>
      <c r="K47" s="118"/>
    </row>
    <row r="48" spans="2:11" x14ac:dyDescent="0.45">
      <c r="B48" s="118"/>
      <c r="C48" s="118"/>
      <c r="D48" s="118"/>
      <c r="I48" s="118"/>
      <c r="J48" s="118"/>
      <c r="K48" s="118"/>
    </row>
    <row r="49" spans="2:11" x14ac:dyDescent="0.45">
      <c r="B49" s="118"/>
      <c r="C49" s="118"/>
      <c r="D49" s="118"/>
      <c r="I49" s="118"/>
      <c r="J49" s="118"/>
      <c r="K49" s="118"/>
    </row>
    <row r="50" spans="2:11" x14ac:dyDescent="0.45">
      <c r="B50" s="118"/>
      <c r="C50" s="118"/>
      <c r="D50" s="118"/>
      <c r="I50" s="118"/>
      <c r="J50" s="118"/>
      <c r="K50" s="118"/>
    </row>
    <row r="51" spans="2:11" x14ac:dyDescent="0.45">
      <c r="B51" s="118"/>
      <c r="C51" s="118"/>
      <c r="D51" s="118"/>
      <c r="I51" s="118"/>
      <c r="J51" s="118"/>
      <c r="K51" s="118"/>
    </row>
    <row r="52" spans="2:11" x14ac:dyDescent="0.45">
      <c r="B52" s="118"/>
      <c r="C52" s="118"/>
      <c r="D52" s="118"/>
      <c r="I52" s="118"/>
      <c r="J52" s="118"/>
      <c r="K52" s="118"/>
    </row>
    <row r="53" spans="2:11" x14ac:dyDescent="0.45">
      <c r="B53" s="118"/>
      <c r="C53" s="118"/>
      <c r="D53" s="118"/>
      <c r="I53" s="118"/>
      <c r="J53" s="118"/>
      <c r="K53" s="118"/>
    </row>
    <row r="54" spans="2:11" x14ac:dyDescent="0.45">
      <c r="B54" s="118"/>
      <c r="C54" s="118"/>
      <c r="D54" s="118"/>
      <c r="I54" s="118"/>
      <c r="J54" s="118"/>
      <c r="K54" s="118"/>
    </row>
    <row r="55" spans="2:11" x14ac:dyDescent="0.45">
      <c r="B55" s="118"/>
      <c r="C55" s="118"/>
      <c r="D55" s="118"/>
      <c r="I55" s="118"/>
      <c r="J55" s="118"/>
      <c r="K55" s="118"/>
    </row>
    <row r="56" spans="2:11" x14ac:dyDescent="0.45">
      <c r="B56" s="118"/>
      <c r="C56" s="118"/>
      <c r="D56" s="118"/>
      <c r="I56" s="118"/>
      <c r="J56" s="118"/>
      <c r="K56" s="118"/>
    </row>
    <row r="57" spans="2:11" x14ac:dyDescent="0.45">
      <c r="B57" s="118"/>
      <c r="C57" s="118"/>
      <c r="D57" s="118"/>
      <c r="I57" s="118"/>
      <c r="J57" s="118"/>
      <c r="K57" s="118"/>
    </row>
    <row r="58" spans="2:11" x14ac:dyDescent="0.45">
      <c r="B58" s="118"/>
      <c r="C58" s="118"/>
      <c r="D58" s="118"/>
      <c r="I58" s="118"/>
      <c r="J58" s="118"/>
      <c r="K58" s="118"/>
    </row>
    <row r="59" spans="2:11" x14ac:dyDescent="0.45">
      <c r="B59" s="118"/>
      <c r="C59" s="118"/>
      <c r="D59" s="118"/>
      <c r="I59" s="118"/>
      <c r="J59" s="118"/>
      <c r="K59" s="118"/>
    </row>
    <row r="60" spans="2:11" x14ac:dyDescent="0.45">
      <c r="B60" s="118"/>
      <c r="C60" s="118"/>
      <c r="D60" s="118"/>
      <c r="I60" s="118"/>
      <c r="J60" s="118"/>
      <c r="K60" s="118"/>
    </row>
    <row r="61" spans="2:11" x14ac:dyDescent="0.45">
      <c r="B61" s="118"/>
      <c r="C61" s="118"/>
      <c r="D61" s="118"/>
      <c r="I61" s="118"/>
      <c r="J61" s="118"/>
      <c r="K61" s="118"/>
    </row>
    <row r="62" spans="2:11" x14ac:dyDescent="0.45">
      <c r="B62" s="118"/>
      <c r="C62" s="118"/>
      <c r="D62" s="118"/>
      <c r="I62" s="118"/>
      <c r="J62" s="118"/>
      <c r="K62" s="118"/>
    </row>
    <row r="63" spans="2:11" x14ac:dyDescent="0.45">
      <c r="B63" s="118"/>
      <c r="C63" s="118"/>
      <c r="D63" s="118"/>
      <c r="I63" s="118"/>
      <c r="J63" s="118"/>
      <c r="K63" s="118"/>
    </row>
    <row r="64" spans="2:11" x14ac:dyDescent="0.45">
      <c r="B64" s="118"/>
      <c r="C64" s="118"/>
      <c r="D64" s="118"/>
      <c r="I64" s="118"/>
      <c r="J64" s="118"/>
      <c r="K64" s="118"/>
    </row>
    <row r="65" spans="2:11" x14ac:dyDescent="0.45">
      <c r="B65" s="118"/>
      <c r="C65" s="118"/>
      <c r="D65" s="118"/>
      <c r="I65" s="118"/>
      <c r="J65" s="118"/>
      <c r="K65" s="1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00"/>
  <sheetViews>
    <sheetView workbookViewId="0">
      <selection activeCell="B4" sqref="B4"/>
    </sheetView>
  </sheetViews>
  <sheetFormatPr defaultColWidth="14.3984375" defaultRowHeight="15" customHeight="1" x14ac:dyDescent="0.45"/>
  <cols>
    <col min="1" max="1" width="31.1328125" customWidth="1"/>
    <col min="2" max="2" width="130.265625" customWidth="1"/>
    <col min="3" max="3" width="10.73046875" customWidth="1"/>
    <col min="4" max="4" width="42.73046875" customWidth="1"/>
    <col min="5" max="26" width="10.73046875" customWidth="1"/>
  </cols>
  <sheetData>
    <row r="1" spans="1:15" ht="14.25" x14ac:dyDescent="0.45">
      <c r="A1" s="7" t="s">
        <v>22</v>
      </c>
      <c r="B1" s="7" t="s">
        <v>23</v>
      </c>
      <c r="C1" s="7" t="s">
        <v>24</v>
      </c>
      <c r="D1" s="7" t="s">
        <v>25</v>
      </c>
      <c r="E1" s="94"/>
      <c r="F1" s="94"/>
      <c r="G1" s="7"/>
      <c r="H1" s="94"/>
      <c r="I1" s="94"/>
      <c r="J1" s="94"/>
      <c r="K1" s="7"/>
      <c r="L1" s="7"/>
      <c r="M1" s="94"/>
      <c r="N1" s="7"/>
      <c r="O1" s="7"/>
    </row>
    <row r="2" spans="1:15" ht="15.75" x14ac:dyDescent="0.45">
      <c r="A2" s="95" t="s">
        <v>26</v>
      </c>
      <c r="B2" s="96" t="s">
        <v>27</v>
      </c>
      <c r="C2" s="97" t="s">
        <v>1</v>
      </c>
    </row>
    <row r="3" spans="1:15" ht="15.75" x14ac:dyDescent="0.45">
      <c r="A3" s="95" t="s">
        <v>28</v>
      </c>
      <c r="B3" s="96" t="s">
        <v>29</v>
      </c>
      <c r="C3" s="97" t="s">
        <v>1</v>
      </c>
    </row>
    <row r="4" spans="1:15" ht="31.5" x14ac:dyDescent="0.45">
      <c r="A4" s="95" t="s">
        <v>30</v>
      </c>
      <c r="B4" s="96" t="s">
        <v>31</v>
      </c>
      <c r="C4" s="97" t="s">
        <v>1</v>
      </c>
    </row>
    <row r="5" spans="1:15" ht="15.75" x14ac:dyDescent="0.45">
      <c r="A5" s="95" t="s">
        <v>14</v>
      </c>
      <c r="B5" s="98" t="s">
        <v>32</v>
      </c>
      <c r="C5" s="97" t="s">
        <v>33</v>
      </c>
      <c r="D5" s="97" t="s">
        <v>34</v>
      </c>
    </row>
    <row r="6" spans="1:15" ht="15.75" x14ac:dyDescent="0.45">
      <c r="A6" s="95" t="s">
        <v>35</v>
      </c>
      <c r="B6" s="96" t="s">
        <v>36</v>
      </c>
      <c r="C6" s="97" t="s">
        <v>1</v>
      </c>
    </row>
    <row r="7" spans="1:15" ht="15.75" x14ac:dyDescent="0.45">
      <c r="A7" s="95" t="s">
        <v>17</v>
      </c>
      <c r="B7" s="99" t="s">
        <v>37</v>
      </c>
      <c r="C7" s="97" t="s">
        <v>33</v>
      </c>
      <c r="D7" s="97" t="s">
        <v>38</v>
      </c>
    </row>
    <row r="8" spans="1:15" ht="14.25" x14ac:dyDescent="0.45">
      <c r="A8" s="100" t="s">
        <v>10</v>
      </c>
      <c r="B8" s="101" t="s">
        <v>39</v>
      </c>
      <c r="C8" s="101" t="s">
        <v>0</v>
      </c>
    </row>
    <row r="9" spans="1:15" ht="14.25" x14ac:dyDescent="0.45">
      <c r="A9" s="102" t="s">
        <v>40</v>
      </c>
      <c r="B9" s="101" t="s">
        <v>41</v>
      </c>
      <c r="C9" s="101" t="s">
        <v>0</v>
      </c>
    </row>
    <row r="10" spans="1:15" ht="32.25" customHeight="1" x14ac:dyDescent="0.45">
      <c r="A10" s="103" t="s">
        <v>11</v>
      </c>
      <c r="B10" s="104" t="s">
        <v>42</v>
      </c>
      <c r="C10" s="101" t="s">
        <v>0</v>
      </c>
    </row>
    <row r="16" spans="1:15" ht="15.75" x14ac:dyDescent="0.45">
      <c r="B16" s="96"/>
    </row>
    <row r="17" spans="2:2" ht="15.75" x14ac:dyDescent="0.45">
      <c r="B17" s="96"/>
    </row>
    <row r="21" spans="2:2" ht="15.75" customHeight="1" x14ac:dyDescent="0.45"/>
    <row r="22" spans="2:2" ht="15.75" customHeight="1" x14ac:dyDescent="0.45"/>
    <row r="23" spans="2:2" ht="15.75" customHeight="1" x14ac:dyDescent="0.45"/>
    <row r="24" spans="2:2" ht="15.75" customHeight="1" x14ac:dyDescent="0.45"/>
    <row r="25" spans="2:2" ht="15.75" customHeight="1" x14ac:dyDescent="0.45"/>
    <row r="26" spans="2:2" ht="15.75" customHeight="1" x14ac:dyDescent="0.45"/>
    <row r="27" spans="2:2" ht="15.75" customHeight="1" x14ac:dyDescent="0.45"/>
    <row r="28" spans="2:2" ht="15.75" customHeight="1" x14ac:dyDescent="0.45"/>
    <row r="29" spans="2:2" ht="15.75" customHeight="1" x14ac:dyDescent="0.45"/>
    <row r="30" spans="2:2" ht="15.75" customHeight="1" x14ac:dyDescent="0.45"/>
    <row r="31" spans="2:2" ht="15.75" customHeight="1" x14ac:dyDescent="0.45"/>
    <row r="32" spans="2:2" ht="15.75" customHeight="1" x14ac:dyDescent="0.45"/>
    <row r="33" ht="15.75" customHeight="1" x14ac:dyDescent="0.45"/>
    <row r="34" ht="15.75" customHeight="1" x14ac:dyDescent="0.45"/>
    <row r="35" ht="15.75" customHeight="1" x14ac:dyDescent="0.45"/>
    <row r="36" ht="15.75" customHeight="1" x14ac:dyDescent="0.45"/>
    <row r="37" ht="15.75" customHeight="1" x14ac:dyDescent="0.45"/>
    <row r="38" ht="15.75" customHeight="1" x14ac:dyDescent="0.45"/>
    <row r="39" ht="15.75" customHeight="1" x14ac:dyDescent="0.45"/>
    <row r="40" ht="15.75" customHeight="1" x14ac:dyDescent="0.45"/>
    <row r="41" ht="15.75" customHeight="1" x14ac:dyDescent="0.45"/>
    <row r="42" ht="15.75" customHeight="1" x14ac:dyDescent="0.45"/>
    <row r="43" ht="15.75" customHeight="1" x14ac:dyDescent="0.45"/>
    <row r="44" ht="15.75" customHeight="1" x14ac:dyDescent="0.45"/>
    <row r="45" ht="15.75" customHeight="1" x14ac:dyDescent="0.45"/>
    <row r="46" ht="15.75" customHeight="1" x14ac:dyDescent="0.45"/>
    <row r="47" ht="15.75" customHeight="1" x14ac:dyDescent="0.45"/>
    <row r="48" ht="15.75" customHeight="1" x14ac:dyDescent="0.45"/>
    <row r="49" ht="15.75" customHeight="1" x14ac:dyDescent="0.45"/>
    <row r="50" ht="15.75" customHeight="1" x14ac:dyDescent="0.45"/>
    <row r="51" ht="15.75" customHeight="1" x14ac:dyDescent="0.45"/>
    <row r="52" ht="15.75" customHeight="1" x14ac:dyDescent="0.45"/>
    <row r="53" ht="15.75" customHeight="1" x14ac:dyDescent="0.45"/>
    <row r="54" ht="15.75" customHeight="1" x14ac:dyDescent="0.45"/>
    <row r="55" ht="15.75" customHeight="1" x14ac:dyDescent="0.45"/>
    <row r="56" ht="15.75" customHeight="1" x14ac:dyDescent="0.45"/>
    <row r="57" ht="15.75" customHeight="1" x14ac:dyDescent="0.45"/>
    <row r="58" ht="15.75" customHeight="1" x14ac:dyDescent="0.45"/>
    <row r="59" ht="15.75" customHeight="1" x14ac:dyDescent="0.45"/>
    <row r="60" ht="15.75" customHeight="1" x14ac:dyDescent="0.45"/>
    <row r="61" ht="15.75" customHeight="1" x14ac:dyDescent="0.45"/>
    <row r="62" ht="15.75" customHeight="1" x14ac:dyDescent="0.45"/>
    <row r="63" ht="15.75" customHeight="1" x14ac:dyDescent="0.45"/>
    <row r="64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hyperlinks>
    <hyperlink ref="B5" r:id="rId1" xr:uid="{00000000-0004-0000-0100-000000000000}"/>
    <hyperlink ref="B7" r:id="rId2" xr:uid="{00000000-0004-0000-0100-000001000000}"/>
  </hyperlink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defaultColWidth="14.3984375" defaultRowHeight="15" customHeight="1" x14ac:dyDescent="0.45"/>
  <cols>
    <col min="1" max="26" width="8.86328125" customWidth="1"/>
  </cols>
  <sheetData>
    <row r="1" spans="1:1" ht="14.25" x14ac:dyDescent="0.45">
      <c r="A1" s="97"/>
    </row>
    <row r="21" ht="15.75" customHeight="1" x14ac:dyDescent="0.45"/>
    <row r="22" ht="15.75" customHeight="1" x14ac:dyDescent="0.45"/>
    <row r="23" ht="15.75" customHeight="1" x14ac:dyDescent="0.45"/>
    <row r="24" ht="15.75" customHeight="1" x14ac:dyDescent="0.45"/>
    <row r="25" ht="15.75" customHeight="1" x14ac:dyDescent="0.45"/>
    <row r="26" ht="15.75" customHeight="1" x14ac:dyDescent="0.45"/>
    <row r="27" ht="15.75" customHeight="1" x14ac:dyDescent="0.45"/>
    <row r="28" ht="15.75" customHeight="1" x14ac:dyDescent="0.45"/>
    <row r="29" ht="15.75" customHeight="1" x14ac:dyDescent="0.45"/>
    <row r="30" ht="15.75" customHeight="1" x14ac:dyDescent="0.45"/>
    <row r="31" ht="15.75" customHeight="1" x14ac:dyDescent="0.45"/>
    <row r="32" ht="15.75" customHeight="1" x14ac:dyDescent="0.45"/>
    <row r="33" ht="15.75" customHeight="1" x14ac:dyDescent="0.45"/>
    <row r="34" ht="15.75" customHeight="1" x14ac:dyDescent="0.45"/>
    <row r="35" ht="15.75" customHeight="1" x14ac:dyDescent="0.45"/>
    <row r="36" ht="15.75" customHeight="1" x14ac:dyDescent="0.45"/>
    <row r="37" ht="15.75" customHeight="1" x14ac:dyDescent="0.45"/>
    <row r="38" ht="15.75" customHeight="1" x14ac:dyDescent="0.45"/>
    <row r="39" ht="15.75" customHeight="1" x14ac:dyDescent="0.45"/>
    <row r="40" ht="15.75" customHeight="1" x14ac:dyDescent="0.45"/>
    <row r="41" ht="15.75" customHeight="1" x14ac:dyDescent="0.45"/>
    <row r="42" ht="15.75" customHeight="1" x14ac:dyDescent="0.45"/>
    <row r="43" ht="15.75" customHeight="1" x14ac:dyDescent="0.45"/>
    <row r="44" ht="15.75" customHeight="1" x14ac:dyDescent="0.45"/>
    <row r="45" ht="15.75" customHeight="1" x14ac:dyDescent="0.45"/>
    <row r="46" ht="15.75" customHeight="1" x14ac:dyDescent="0.45"/>
    <row r="47" ht="15.75" customHeight="1" x14ac:dyDescent="0.45"/>
    <row r="48" ht="15.75" customHeight="1" x14ac:dyDescent="0.45"/>
    <row r="49" ht="15.75" customHeight="1" x14ac:dyDescent="0.45"/>
    <row r="50" ht="15.75" customHeight="1" x14ac:dyDescent="0.45"/>
    <row r="51" ht="15.75" customHeight="1" x14ac:dyDescent="0.45"/>
    <row r="52" ht="15.75" customHeight="1" x14ac:dyDescent="0.45"/>
    <row r="53" ht="15.75" customHeight="1" x14ac:dyDescent="0.45"/>
    <row r="54" ht="15.75" customHeight="1" x14ac:dyDescent="0.45"/>
    <row r="55" ht="15.75" customHeight="1" x14ac:dyDescent="0.45"/>
    <row r="56" ht="15.75" customHeight="1" x14ac:dyDescent="0.45"/>
    <row r="57" ht="15.75" customHeight="1" x14ac:dyDescent="0.45"/>
    <row r="58" ht="15.75" customHeight="1" x14ac:dyDescent="0.45"/>
    <row r="59" ht="15.75" customHeight="1" x14ac:dyDescent="0.45"/>
    <row r="60" ht="15.75" customHeight="1" x14ac:dyDescent="0.45"/>
    <row r="61" ht="15.75" customHeight="1" x14ac:dyDescent="0.45"/>
    <row r="62" ht="15.75" customHeight="1" x14ac:dyDescent="0.45"/>
    <row r="63" ht="15.75" customHeight="1" x14ac:dyDescent="0.45"/>
    <row r="64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18942-8025-504E-8E18-7FAFB6A2CB93}">
  <dimension ref="A1:AT42"/>
  <sheetViews>
    <sheetView topLeftCell="V1" workbookViewId="0">
      <selection activeCell="B12" sqref="B12"/>
    </sheetView>
  </sheetViews>
  <sheetFormatPr defaultColWidth="10.73046875" defaultRowHeight="14.25" x14ac:dyDescent="0.45"/>
  <cols>
    <col min="1" max="1" width="10.86328125" style="6"/>
    <col min="2" max="2" width="12.265625" bestFit="1" customWidth="1"/>
    <col min="3" max="9" width="15.73046875" customWidth="1"/>
    <col min="10" max="10" width="18.265625" customWidth="1"/>
    <col min="11" max="18" width="15.73046875" customWidth="1"/>
    <col min="19" max="19" width="18.265625" customWidth="1"/>
    <col min="20" max="20" width="15.73046875" style="113" customWidth="1"/>
    <col min="21" max="27" width="15.73046875" customWidth="1"/>
    <col min="28" max="28" width="17.265625" customWidth="1"/>
    <col min="29" max="36" width="15.73046875" customWidth="1"/>
    <col min="37" max="37" width="17.265625" customWidth="1"/>
    <col min="38" max="45" width="15.73046875" customWidth="1"/>
    <col min="46" max="46" width="18.265625" customWidth="1"/>
  </cols>
  <sheetData>
    <row r="1" spans="1:46" ht="16.149999999999999" thickTop="1" x14ac:dyDescent="0.5">
      <c r="B1" s="4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106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5"/>
    </row>
    <row r="2" spans="1:46" ht="14.65" thickBot="1" x14ac:dyDescent="0.5">
      <c r="B2" s="138" t="s">
        <v>2</v>
      </c>
      <c r="C2" s="138"/>
      <c r="D2" s="138"/>
      <c r="E2" s="138"/>
      <c r="F2" s="138"/>
      <c r="G2" s="138"/>
      <c r="H2" s="138"/>
      <c r="I2" s="138"/>
      <c r="J2" s="139"/>
      <c r="K2" s="128" t="s">
        <v>3</v>
      </c>
      <c r="L2" s="134"/>
      <c r="M2" s="126"/>
      <c r="N2" s="126"/>
      <c r="O2" s="126"/>
      <c r="P2" s="126"/>
      <c r="Q2" s="126"/>
      <c r="R2" s="126"/>
      <c r="S2" s="129"/>
      <c r="T2" s="130" t="s">
        <v>4</v>
      </c>
      <c r="U2" s="135"/>
      <c r="V2" s="126"/>
      <c r="W2" s="126"/>
      <c r="X2" s="126"/>
      <c r="Y2" s="126"/>
      <c r="Z2" s="126"/>
      <c r="AA2" s="126"/>
      <c r="AB2" s="127"/>
      <c r="AC2" s="131" t="s">
        <v>5</v>
      </c>
      <c r="AD2" s="136"/>
      <c r="AE2" s="126"/>
      <c r="AF2" s="126"/>
      <c r="AG2" s="126"/>
      <c r="AH2" s="126"/>
      <c r="AI2" s="126"/>
      <c r="AJ2" s="126"/>
      <c r="AK2" s="129"/>
      <c r="AL2" s="132" t="s">
        <v>6</v>
      </c>
      <c r="AM2" s="137"/>
      <c r="AN2" s="126"/>
      <c r="AO2" s="126"/>
      <c r="AP2" s="126"/>
      <c r="AQ2" s="126"/>
      <c r="AR2" s="126"/>
      <c r="AS2" s="126"/>
      <c r="AT2" s="133"/>
    </row>
    <row r="3" spans="1:46" ht="14.65" thickBot="1" x14ac:dyDescent="0.5">
      <c r="B3" s="9" t="s">
        <v>7</v>
      </c>
      <c r="C3" s="9" t="s">
        <v>44</v>
      </c>
      <c r="D3" s="9" t="s">
        <v>8</v>
      </c>
      <c r="E3" s="9" t="s">
        <v>9</v>
      </c>
      <c r="F3" s="9" t="s">
        <v>15</v>
      </c>
      <c r="G3" s="9" t="s">
        <v>16</v>
      </c>
      <c r="H3" s="9" t="s">
        <v>13</v>
      </c>
      <c r="I3" s="9" t="s">
        <v>17</v>
      </c>
      <c r="J3" s="11" t="s">
        <v>14</v>
      </c>
      <c r="K3" s="12" t="s">
        <v>7</v>
      </c>
      <c r="L3" s="12" t="s">
        <v>44</v>
      </c>
      <c r="M3" s="12" t="s">
        <v>8</v>
      </c>
      <c r="N3" s="12" t="s">
        <v>9</v>
      </c>
      <c r="O3" s="12" t="s">
        <v>15</v>
      </c>
      <c r="P3" s="12" t="s">
        <v>16</v>
      </c>
      <c r="Q3" s="12" t="s">
        <v>13</v>
      </c>
      <c r="R3" s="12" t="s">
        <v>17</v>
      </c>
      <c r="S3" s="12" t="s">
        <v>14</v>
      </c>
      <c r="T3" s="107" t="s">
        <v>7</v>
      </c>
      <c r="U3" s="15" t="s">
        <v>44</v>
      </c>
      <c r="V3" s="15" t="s">
        <v>8</v>
      </c>
      <c r="W3" s="15" t="s">
        <v>9</v>
      </c>
      <c r="X3" s="15" t="s">
        <v>15</v>
      </c>
      <c r="Y3" s="15" t="s">
        <v>16</v>
      </c>
      <c r="Z3" s="15" t="s">
        <v>13</v>
      </c>
      <c r="AA3" s="15" t="s">
        <v>17</v>
      </c>
      <c r="AB3" s="17" t="s">
        <v>14</v>
      </c>
      <c r="AC3" s="18" t="s">
        <v>7</v>
      </c>
      <c r="AD3" s="18" t="s">
        <v>44</v>
      </c>
      <c r="AE3" s="18" t="s">
        <v>8</v>
      </c>
      <c r="AF3" s="18" t="s">
        <v>9</v>
      </c>
      <c r="AG3" s="18" t="s">
        <v>15</v>
      </c>
      <c r="AH3" s="18" t="s">
        <v>16</v>
      </c>
      <c r="AI3" s="18" t="s">
        <v>13</v>
      </c>
      <c r="AJ3" s="18" t="s">
        <v>17</v>
      </c>
      <c r="AK3" s="18" t="s">
        <v>14</v>
      </c>
      <c r="AL3" s="20" t="s">
        <v>7</v>
      </c>
      <c r="AM3" s="21" t="s">
        <v>44</v>
      </c>
      <c r="AN3" s="21" t="s">
        <v>8</v>
      </c>
      <c r="AO3" s="21" t="s">
        <v>9</v>
      </c>
      <c r="AP3" s="21" t="s">
        <v>15</v>
      </c>
      <c r="AQ3" s="21" t="s">
        <v>16</v>
      </c>
      <c r="AR3" s="21" t="s">
        <v>13</v>
      </c>
      <c r="AS3" s="21" t="s">
        <v>17</v>
      </c>
      <c r="AT3" s="24" t="s">
        <v>14</v>
      </c>
    </row>
    <row r="4" spans="1:46" ht="14.65" thickTop="1" x14ac:dyDescent="0.45">
      <c r="A4" s="6">
        <v>1995</v>
      </c>
      <c r="B4" s="31">
        <v>17106.520741686974</v>
      </c>
      <c r="C4" s="31">
        <f>[1]Data!$S397</f>
        <v>595788.8125</v>
      </c>
      <c r="D4" s="31">
        <v>19830.379174151389</v>
      </c>
      <c r="E4" s="31">
        <v>0.99975000000000003</v>
      </c>
      <c r="F4" s="31">
        <f>DATA!F4*C4/100</f>
        <v>70898.868687499998</v>
      </c>
      <c r="G4" s="31">
        <v>87658.566362825222</v>
      </c>
      <c r="H4" s="31">
        <f>F4-G4</f>
        <v>-16759.697675325224</v>
      </c>
      <c r="I4" s="31"/>
      <c r="J4" s="31">
        <v>15979453701.6387</v>
      </c>
      <c r="K4" s="32">
        <v>4902.2252711372812</v>
      </c>
      <c r="L4" s="31">
        <f>[1]Data!$S1657</f>
        <v>37366.41796875</v>
      </c>
      <c r="M4" s="31">
        <v>5910.4457811206803</v>
      </c>
      <c r="N4" s="31">
        <v>4.8003416666666672</v>
      </c>
      <c r="O4" s="31">
        <f>DATA!N4*Complete!L4/100</f>
        <v>5343.3977695312506</v>
      </c>
      <c r="P4" s="31">
        <v>11241.851807478466</v>
      </c>
      <c r="Q4" s="31">
        <f>O4-P4</f>
        <v>-5898.4540379472155</v>
      </c>
      <c r="R4" s="31">
        <v>10.193206763074601</v>
      </c>
      <c r="S4" s="31">
        <v>1005482847.42788</v>
      </c>
      <c r="T4" s="108">
        <v>8424.4830449985875</v>
      </c>
      <c r="U4" s="33">
        <f>[1]Data!$S3687</f>
        <v>96504.171875</v>
      </c>
      <c r="V4" s="33">
        <v>9015.8598696992158</v>
      </c>
      <c r="W4" s="33">
        <v>1</v>
      </c>
      <c r="X4" s="33">
        <f>U4*DATA!V4/100</f>
        <v>7913.3420937499995</v>
      </c>
      <c r="Y4" s="33">
        <v>25283.871046327055</v>
      </c>
      <c r="Z4" s="33">
        <f>X4-Y4</f>
        <v>-17370.528952577057</v>
      </c>
      <c r="AA4" s="33">
        <v>22.886133032694499</v>
      </c>
      <c r="AB4" s="31">
        <v>1787782198.96368</v>
      </c>
      <c r="AC4" s="32">
        <v>3187.8352675275169</v>
      </c>
      <c r="AD4" s="33">
        <f>[1]Data!$S8797</f>
        <v>14830.3994140625</v>
      </c>
      <c r="AE4" s="33">
        <v>6525.3358408829572</v>
      </c>
      <c r="AF4" s="33">
        <v>7.5455916666666702</v>
      </c>
      <c r="AG4" s="33">
        <f>AD4*DATA!AD4/100</f>
        <v>1646.1743349609376</v>
      </c>
      <c r="AH4" s="33">
        <v>2039.819288199913</v>
      </c>
      <c r="AI4" s="33">
        <f>AG4-AH4</f>
        <v>-393.6449532389754</v>
      </c>
      <c r="AJ4" s="33"/>
      <c r="AK4" s="33">
        <v>142003674.45683801</v>
      </c>
      <c r="AL4" s="32">
        <v>586.20799399667158</v>
      </c>
      <c r="AM4" s="33">
        <f>[1]Data!$S12367</f>
        <v>12856.1767578125</v>
      </c>
      <c r="AN4" s="33">
        <v>708.6611105390499</v>
      </c>
      <c r="AO4" s="33">
        <v>0.17684166666666701</v>
      </c>
      <c r="AP4" s="33">
        <f>AM4*DATA!AL4/100</f>
        <v>1709.8715087890625</v>
      </c>
      <c r="AQ4" s="33">
        <v>3743.1464087225322</v>
      </c>
      <c r="AR4" s="33">
        <f>AP4-AQ4</f>
        <v>-2033.2748999334697</v>
      </c>
      <c r="AS4" s="33"/>
      <c r="AT4" s="34">
        <v>10715241770.5819</v>
      </c>
    </row>
    <row r="5" spans="1:46" x14ac:dyDescent="0.45">
      <c r="A5" s="6">
        <v>1996</v>
      </c>
      <c r="B5" s="31">
        <v>17837.753324639863</v>
      </c>
      <c r="C5" s="31">
        <f>[1]Data!$S398</f>
        <v>628716.125</v>
      </c>
      <c r="D5" s="31">
        <v>19009.440764980103</v>
      </c>
      <c r="E5" s="31">
        <v>0.9996624999999999</v>
      </c>
      <c r="F5" s="31">
        <f>DATA!F5*C5/100</f>
        <v>69787.489874999999</v>
      </c>
      <c r="G5" s="31">
        <v>130057.96385864541</v>
      </c>
      <c r="H5" s="31">
        <f t="shared" ref="H5:H28" si="0">F5-G5</f>
        <v>-60270.47398364541</v>
      </c>
      <c r="I5" s="31"/>
      <c r="J5" s="31">
        <v>19719017351.062401</v>
      </c>
      <c r="K5" s="41">
        <v>5012.9296203292679</v>
      </c>
      <c r="L5" s="31">
        <f>[1]Data!$S1658</f>
        <v>38996.91796875</v>
      </c>
      <c r="M5" s="31">
        <v>6223.9359108213948</v>
      </c>
      <c r="N5" s="31">
        <v>5.0746124999999997</v>
      </c>
      <c r="O5" s="31">
        <f>DATA!N5*Complete!L5/100</f>
        <v>5966.5284492187502</v>
      </c>
      <c r="P5" s="31">
        <v>11658.310573151568</v>
      </c>
      <c r="Q5" s="31">
        <f t="shared" ref="Q5:Q28" si="1">O5-P5</f>
        <v>-5691.7821239328177</v>
      </c>
      <c r="R5" s="31">
        <v>12.4254866180049</v>
      </c>
      <c r="S5" s="31">
        <v>1301661210.8099699</v>
      </c>
      <c r="T5" s="108">
        <v>8388.7826338820578</v>
      </c>
      <c r="U5" s="33">
        <f>[1]Data!$S3688</f>
        <v>98175.3828125</v>
      </c>
      <c r="V5" s="33">
        <v>8956.8404970338834</v>
      </c>
      <c r="W5" s="33">
        <v>1</v>
      </c>
      <c r="X5" s="33">
        <f>U5*DATA!V5/100</f>
        <v>7166.8029453125</v>
      </c>
      <c r="Y5" s="33">
        <v>23824.609246422304</v>
      </c>
      <c r="Z5" s="33">
        <f t="shared" ref="Z5:Z28" si="2">X5-Y5</f>
        <v>-16657.806301109806</v>
      </c>
      <c r="AA5" s="33">
        <v>24.373088685015599</v>
      </c>
      <c r="AB5" s="31">
        <v>2011360128.31461</v>
      </c>
      <c r="AC5" s="41">
        <v>3326.2063382433025</v>
      </c>
      <c r="AD5" s="33">
        <f>[1]Data!$S8798</f>
        <v>15771.466796875</v>
      </c>
      <c r="AE5" s="33">
        <v>6597.7506428023553</v>
      </c>
      <c r="AF5" s="33">
        <v>8.4354999999999993</v>
      </c>
      <c r="AG5" s="33">
        <f>AD5*DATA!AD5/100</f>
        <v>1766.4042812499997</v>
      </c>
      <c r="AH5" s="33">
        <v>2012.3916797165002</v>
      </c>
      <c r="AI5" s="33">
        <f t="shared" ref="AI5:AI28" si="3">AG5-AH5</f>
        <v>-245.98739846650051</v>
      </c>
      <c r="AJ5" s="33"/>
      <c r="AK5" s="33">
        <v>202863225.43397501</v>
      </c>
      <c r="AL5" s="41">
        <v>573.16822000087109</v>
      </c>
      <c r="AM5" s="33">
        <f>[1]Data!$S12368</f>
        <v>12830.7431640625</v>
      </c>
      <c r="AN5" s="33">
        <v>693.50128183178151</v>
      </c>
      <c r="AO5" s="33">
        <v>0.41735</v>
      </c>
      <c r="AP5" s="33">
        <f>AM5*DATA!AL5/100</f>
        <v>1821.9655292968748</v>
      </c>
      <c r="AQ5" s="33">
        <v>3396.8647363718192</v>
      </c>
      <c r="AR5" s="33">
        <f t="shared" ref="AR5:AR28" si="4">AP5-AQ5</f>
        <v>-1574.8992070749443</v>
      </c>
      <c r="AS5" s="33"/>
      <c r="AT5" s="34">
        <v>16019843786.826</v>
      </c>
    </row>
    <row r="6" spans="1:46" x14ac:dyDescent="0.45">
      <c r="A6" s="6">
        <v>1997</v>
      </c>
      <c r="B6" s="31">
        <v>19062.272408927744</v>
      </c>
      <c r="C6" s="31">
        <f>[1]Data!$S399</f>
        <v>679711.625</v>
      </c>
      <c r="D6" s="31">
        <v>19006.541241739633</v>
      </c>
      <c r="E6" s="31">
        <v>0.99949999999999994</v>
      </c>
      <c r="F6" s="31">
        <f>DATA!F6*C6/100</f>
        <v>78846.54849999999</v>
      </c>
      <c r="G6" s="31">
        <v>120479.31959792413</v>
      </c>
      <c r="H6" s="31">
        <f t="shared" si="0"/>
        <v>-41632.771097924138</v>
      </c>
      <c r="I6" s="31"/>
      <c r="J6" s="31">
        <v>22424600096.7817</v>
      </c>
      <c r="K6" s="41">
        <v>5156.4249221854152</v>
      </c>
      <c r="L6" s="31">
        <f>[1]Data!$S1659</f>
        <v>40928.90625</v>
      </c>
      <c r="M6" s="31">
        <v>6412.4891700495082</v>
      </c>
      <c r="N6" s="31">
        <v>5.2542583333333335</v>
      </c>
      <c r="O6" s="31">
        <f>DATA!N6*Complete!L6/100</f>
        <v>6589.5539062500002</v>
      </c>
      <c r="P6" s="31">
        <v>11408.974187169224</v>
      </c>
      <c r="Q6" s="31">
        <f t="shared" si="1"/>
        <v>-4819.4202809192238</v>
      </c>
      <c r="R6" s="31">
        <v>4.7084443602819297</v>
      </c>
      <c r="S6" s="31">
        <v>1359051283.4400699</v>
      </c>
      <c r="T6" s="108">
        <v>8570.0275947642185</v>
      </c>
      <c r="U6" s="33">
        <f>[1]Data!$S3689</f>
        <v>102424.2734375</v>
      </c>
      <c r="V6" s="33">
        <v>9053.5285160558215</v>
      </c>
      <c r="W6" s="33">
        <v>1</v>
      </c>
      <c r="X6" s="33">
        <f>U6*DATA!V6/100</f>
        <v>8091.5176015625011</v>
      </c>
      <c r="Y6" s="33">
        <v>23468.321135975188</v>
      </c>
      <c r="Z6" s="33">
        <f t="shared" si="2"/>
        <v>-15376.803534412687</v>
      </c>
      <c r="AA6" s="33">
        <v>30.642980083598701</v>
      </c>
      <c r="AB6" s="31">
        <v>2212962682.5571699</v>
      </c>
      <c r="AC6" s="41">
        <v>3396.4825629326501</v>
      </c>
      <c r="AD6" s="33">
        <f>[1]Data!$S8799</f>
        <v>16397.06640625</v>
      </c>
      <c r="AE6" s="33">
        <v>6468.3929176739694</v>
      </c>
      <c r="AF6" s="33">
        <v>9.4480833333333294</v>
      </c>
      <c r="AG6" s="33">
        <f>AD6*DATA!AD6/100</f>
        <v>2016.8391679687502</v>
      </c>
      <c r="AH6" s="33">
        <v>2029.6937053688162</v>
      </c>
      <c r="AI6" s="33">
        <f t="shared" si="3"/>
        <v>-12.854537400065965</v>
      </c>
      <c r="AJ6" s="33"/>
      <c r="AK6" s="33">
        <v>382292004.29489899</v>
      </c>
      <c r="AL6" s="41">
        <v>597.61508339506224</v>
      </c>
      <c r="AM6" s="33">
        <f>[1]Data!$S12369</f>
        <v>13648.1796875</v>
      </c>
      <c r="AN6" s="33">
        <v>696.04941471599807</v>
      </c>
      <c r="AO6" s="33">
        <v>0.48863333333333298</v>
      </c>
      <c r="AP6" s="33">
        <f>AM6*DATA!AL6/100</f>
        <v>2402.0796250000003</v>
      </c>
      <c r="AQ6" s="33">
        <v>3356.0166807349306</v>
      </c>
      <c r="AR6" s="33">
        <f t="shared" si="4"/>
        <v>-953.93705573493025</v>
      </c>
      <c r="AS6" s="33"/>
      <c r="AT6" s="34">
        <v>17703782561.633801</v>
      </c>
    </row>
    <row r="7" spans="1:46" x14ac:dyDescent="0.45">
      <c r="A7" s="6">
        <v>1998</v>
      </c>
      <c r="B7" s="31">
        <v>19573.323512866584</v>
      </c>
      <c r="C7" s="31">
        <f>[1]Data!$S400</f>
        <v>705881.75</v>
      </c>
      <c r="D7" s="31">
        <v>19539.697652873027</v>
      </c>
      <c r="E7" s="31">
        <v>0.99949999999999994</v>
      </c>
      <c r="F7" s="31">
        <f>DATA!F7*C7/100</f>
        <v>81882.282999999996</v>
      </c>
      <c r="G7" s="31">
        <v>112726.32212388143</v>
      </c>
      <c r="H7" s="31">
        <f t="shared" si="0"/>
        <v>-30844.039123881434</v>
      </c>
      <c r="I7" s="31"/>
      <c r="J7" s="31">
        <v>24855741222.254101</v>
      </c>
      <c r="K7" s="41">
        <v>5309.2049130819105</v>
      </c>
      <c r="L7" s="31">
        <f>[1]Data!$S1660</f>
        <v>42987.36328125</v>
      </c>
      <c r="M7" s="31">
        <v>6299.6305589611438</v>
      </c>
      <c r="N7" s="31">
        <v>5.5101333333333331</v>
      </c>
      <c r="O7" s="31">
        <f>DATA!N7*Complete!L7/100</f>
        <v>7006.9402148437503</v>
      </c>
      <c r="P7" s="31">
        <v>11098.141472561401</v>
      </c>
      <c r="Q7" s="31">
        <f t="shared" si="1"/>
        <v>-4091.2012577176511</v>
      </c>
      <c r="R7" s="31">
        <v>7.6732289567508403</v>
      </c>
      <c r="S7" s="31">
        <v>1218866920.23489</v>
      </c>
      <c r="T7" s="108">
        <v>8670.7738162040114</v>
      </c>
      <c r="U7" s="33">
        <f>[1]Data!$S3690</f>
        <v>105769.9921875</v>
      </c>
      <c r="V7" s="33">
        <v>9138.0293761784269</v>
      </c>
      <c r="W7" s="33">
        <v>1</v>
      </c>
      <c r="X7" s="33">
        <f>U7*DATA!V7/100</f>
        <v>9413.5293046875013</v>
      </c>
      <c r="Y7" s="33">
        <v>21349.262825466692</v>
      </c>
      <c r="Z7" s="33">
        <f t="shared" si="2"/>
        <v>-11935.733520779191</v>
      </c>
      <c r="AA7" s="33">
        <v>36.0984331623782</v>
      </c>
      <c r="AB7" s="31">
        <v>1738909755.1591899</v>
      </c>
      <c r="AC7" s="41">
        <v>3463.0210292299571</v>
      </c>
      <c r="AD7" s="33">
        <f>[1]Data!$S8800</f>
        <v>17005.673828125</v>
      </c>
      <c r="AE7" s="33">
        <v>6373.9393049292157</v>
      </c>
      <c r="AF7" s="33">
        <v>10.5819166666667</v>
      </c>
      <c r="AG7" s="33">
        <f>AD7*DATA!AD7/100</f>
        <v>2227.7432714843749</v>
      </c>
      <c r="AH7" s="33">
        <v>2134.1942176589509</v>
      </c>
      <c r="AI7" s="33">
        <f t="shared" si="3"/>
        <v>93.549053825423925</v>
      </c>
      <c r="AJ7" s="33"/>
      <c r="AK7" s="33">
        <v>354722885.391702</v>
      </c>
      <c r="AL7" s="41">
        <v>587.76924836638716</v>
      </c>
      <c r="AM7" s="33">
        <f>[1]Data!$S12370</f>
        <v>13688.3017578125</v>
      </c>
      <c r="AN7" s="33">
        <v>745.74717459753447</v>
      </c>
      <c r="AO7" s="33">
        <v>0.54756666666666698</v>
      </c>
      <c r="AP7" s="33">
        <f>AM7*DATA!AL7/100</f>
        <v>1765.7909267578125</v>
      </c>
      <c r="AQ7" s="33">
        <v>3189.3717982720846</v>
      </c>
      <c r="AR7" s="33">
        <f t="shared" si="4"/>
        <v>-1423.5808715142721</v>
      </c>
      <c r="AS7" s="33"/>
      <c r="AT7" s="34">
        <v>14728840876.6402</v>
      </c>
    </row>
    <row r="8" spans="1:46" x14ac:dyDescent="0.45">
      <c r="A8" s="6">
        <v>1999</v>
      </c>
      <c r="B8" s="31">
        <v>18701.30146752626</v>
      </c>
      <c r="C8" s="31">
        <f>[1]Data!$S401</f>
        <v>681984.4375</v>
      </c>
      <c r="D8" s="31">
        <v>19835.144289362481</v>
      </c>
      <c r="E8" s="31">
        <v>0.99949999999999994</v>
      </c>
      <c r="F8" s="31">
        <f>DATA!F8*C8/100</f>
        <v>78428.210312499999</v>
      </c>
      <c r="G8" s="31">
        <v>105391.2953317631</v>
      </c>
      <c r="H8" s="31">
        <f t="shared" si="0"/>
        <v>-26963.085019263104</v>
      </c>
      <c r="I8" s="31"/>
      <c r="J8" s="31">
        <v>26350163486.372299</v>
      </c>
      <c r="K8" s="41">
        <v>5228.3548531342731</v>
      </c>
      <c r="L8" s="31">
        <f>[1]Data!$S1661</f>
        <v>43170.87109375</v>
      </c>
      <c r="M8" s="31">
        <v>6464.6113928817749</v>
      </c>
      <c r="N8" s="31">
        <v>5.812408333333333</v>
      </c>
      <c r="O8" s="31">
        <f>DATA!N8*Complete!L8/100</f>
        <v>6777.8267617187494</v>
      </c>
      <c r="P8" s="31">
        <v>10588.415292053658</v>
      </c>
      <c r="Q8" s="31">
        <f t="shared" si="1"/>
        <v>-3810.5885303349087</v>
      </c>
      <c r="R8" s="31">
        <v>2.1595162683559601</v>
      </c>
      <c r="S8" s="31">
        <v>1248580099.5968001</v>
      </c>
      <c r="T8" s="108">
        <v>8098.0724288033025</v>
      </c>
      <c r="U8" s="33">
        <f>[1]Data!$S3691</f>
        <v>100757.1484375</v>
      </c>
      <c r="V8" s="33">
        <v>9679.3381742566744</v>
      </c>
      <c r="W8" s="33">
        <v>1</v>
      </c>
      <c r="X8" s="33">
        <f>U8*DATA!V8/100</f>
        <v>9672.6862500000007</v>
      </c>
      <c r="Y8" s="33">
        <v>19422.010053716367</v>
      </c>
      <c r="Z8" s="33">
        <f t="shared" si="2"/>
        <v>-9749.3238037163665</v>
      </c>
      <c r="AA8" s="33">
        <v>52.242350907518897</v>
      </c>
      <c r="AB8" s="31">
        <v>1887630504.4925799</v>
      </c>
      <c r="AC8" s="41">
        <v>3646.9724840664471</v>
      </c>
      <c r="AD8" s="33">
        <f>[1]Data!$S8801</f>
        <v>18202.185546875</v>
      </c>
      <c r="AE8" s="33">
        <v>6369.9942035877239</v>
      </c>
      <c r="AF8" s="33">
        <v>11.80925</v>
      </c>
      <c r="AG8" s="33">
        <f>AD8*DATA!AD8/100</f>
        <v>2329.8797500000001</v>
      </c>
      <c r="AH8" s="33">
        <v>2445.5802916960674</v>
      </c>
      <c r="AI8" s="33">
        <f t="shared" si="3"/>
        <v>-115.70054169606738</v>
      </c>
      <c r="AJ8" s="33"/>
      <c r="AK8" s="33">
        <v>514067507.78729099</v>
      </c>
      <c r="AL8" s="47">
        <v>542.17027539537867</v>
      </c>
      <c r="AM8" s="49">
        <f>[1]Data!$S12371</f>
        <v>12871.0361328125</v>
      </c>
      <c r="AN8" s="49">
        <v>681.89327783187468</v>
      </c>
      <c r="AO8" s="49">
        <v>0.60572499999999996</v>
      </c>
      <c r="AP8" s="49">
        <f>AM8*DATA!AL8/100</f>
        <v>1776.202986328125</v>
      </c>
      <c r="AQ8" s="49">
        <v>2464.161399519071</v>
      </c>
      <c r="AR8" s="49">
        <f t="shared" si="4"/>
        <v>-687.95841319094598</v>
      </c>
      <c r="AS8" s="49"/>
      <c r="AT8" s="50">
        <v>15110150345.584801</v>
      </c>
    </row>
    <row r="9" spans="1:46" x14ac:dyDescent="0.45">
      <c r="A9" s="6">
        <v>2000</v>
      </c>
      <c r="B9" s="31">
        <v>18350.671156002176</v>
      </c>
      <c r="C9" s="31">
        <f>[1]Data!$S402</f>
        <v>676603.6875</v>
      </c>
      <c r="D9" s="31">
        <v>19459.986834064715</v>
      </c>
      <c r="E9" s="31">
        <v>0.99949999999999994</v>
      </c>
      <c r="F9" s="31">
        <f>DATA!F9*C9/100</f>
        <v>80515.838812500006</v>
      </c>
      <c r="G9" s="31">
        <v>95760.692601302639</v>
      </c>
      <c r="H9" s="31">
        <f t="shared" si="0"/>
        <v>-15244.853788802633</v>
      </c>
      <c r="I9" s="31"/>
      <c r="J9" s="31">
        <v>25152117244.413399</v>
      </c>
      <c r="K9" s="41">
        <v>5256.8457849504366</v>
      </c>
      <c r="L9" s="31">
        <f>[1]Data!$S1662</f>
        <v>44253.515625</v>
      </c>
      <c r="M9" s="31">
        <v>6751.2913644379259</v>
      </c>
      <c r="N9" s="31">
        <v>6.1835416666666667</v>
      </c>
      <c r="O9" s="31">
        <f>DATA!N9*Complete!L9/100</f>
        <v>7301.830078125</v>
      </c>
      <c r="P9" s="31">
        <v>10215.254594071303</v>
      </c>
      <c r="Q9" s="31">
        <f t="shared" si="1"/>
        <v>-2913.4245159463026</v>
      </c>
      <c r="R9" s="31">
        <v>4.6082299887259799</v>
      </c>
      <c r="S9" s="31">
        <v>1184108227.67537</v>
      </c>
      <c r="T9" s="108">
        <v>8032.1917023831411</v>
      </c>
      <c r="U9" s="33">
        <f>[1]Data!$S3692</f>
        <v>101857.2109375</v>
      </c>
      <c r="V9" s="33">
        <v>9560.5921868363203</v>
      </c>
      <c r="W9" s="33">
        <v>1</v>
      </c>
      <c r="X9" s="33">
        <f>U9*DATA!V9/100</f>
        <v>11611.722046875002</v>
      </c>
      <c r="Y9" s="33">
        <v>18035.476060545538</v>
      </c>
      <c r="Z9" s="33">
        <f t="shared" si="2"/>
        <v>-6423.7540136705356</v>
      </c>
      <c r="AA9" s="33">
        <v>96.0941136930836</v>
      </c>
      <c r="AB9" s="31">
        <v>1178958455.54319</v>
      </c>
      <c r="AC9" s="41">
        <v>3737.9437297284717</v>
      </c>
      <c r="AD9" s="33">
        <f>[1]Data!$S8802</f>
        <v>18948.765625</v>
      </c>
      <c r="AE9" s="33">
        <v>6254.9640776096012</v>
      </c>
      <c r="AF9" s="33">
        <v>12.6843916666667</v>
      </c>
      <c r="AG9" s="33">
        <f>AD9*DATA!AD9/100</f>
        <v>2501.2370624999999</v>
      </c>
      <c r="AH9" s="33">
        <v>2611.8386110281572</v>
      </c>
      <c r="AI9" s="33">
        <f t="shared" si="3"/>
        <v>-110.60154852815731</v>
      </c>
      <c r="AJ9" s="33">
        <v>7.0699135225251402</v>
      </c>
      <c r="AK9" s="33">
        <v>492485081.97107297</v>
      </c>
      <c r="AL9" s="56">
        <v>551.64301079766801</v>
      </c>
      <c r="AM9" s="58">
        <f>[1]Data!$S12372</f>
        <v>13345.59375</v>
      </c>
      <c r="AN9" s="58">
        <v>620.09122613804743</v>
      </c>
      <c r="AO9" s="58">
        <v>0.67996666666666705</v>
      </c>
      <c r="AP9" s="58">
        <f>AM9*DATA!AL9/100</f>
        <v>1815.0007499999999</v>
      </c>
      <c r="AQ9" s="58">
        <v>2028.443877430167</v>
      </c>
      <c r="AR9" s="58">
        <f t="shared" si="4"/>
        <v>-213.44312743016712</v>
      </c>
      <c r="AS9" s="58"/>
      <c r="AT9" s="59">
        <v>15898851162.5221</v>
      </c>
    </row>
    <row r="10" spans="1:46" x14ac:dyDescent="0.45">
      <c r="A10" s="6">
        <v>2001</v>
      </c>
      <c r="B10" s="31">
        <v>17351.093214948996</v>
      </c>
      <c r="C10" s="31">
        <f>[1]Data!$S403</f>
        <v>646773.3125</v>
      </c>
      <c r="D10" s="31">
        <v>19145.558280302757</v>
      </c>
      <c r="E10" s="31">
        <v>0.99949999999999994</v>
      </c>
      <c r="F10" s="31">
        <f>DATA!F10*C10/100</f>
        <v>74378.930937500001</v>
      </c>
      <c r="G10" s="31">
        <v>87268.168737832457</v>
      </c>
      <c r="H10" s="31">
        <f t="shared" si="0"/>
        <v>-12889.237800332456</v>
      </c>
      <c r="I10" s="31"/>
      <c r="J10" s="31">
        <v>14555552759.610201</v>
      </c>
      <c r="K10" s="41">
        <v>5244.4549887036892</v>
      </c>
      <c r="L10" s="31">
        <f>[1]Data!$S1663</f>
        <v>44998.65625</v>
      </c>
      <c r="M10" s="31">
        <v>6767.412408792914</v>
      </c>
      <c r="N10" s="31">
        <v>6.6069166666666659</v>
      </c>
      <c r="O10" s="31">
        <f>DATA!N10*Complete!L10/100</f>
        <v>7019.7903749999996</v>
      </c>
      <c r="P10" s="31">
        <v>9604.9075084403157</v>
      </c>
      <c r="Q10" s="31">
        <f t="shared" si="1"/>
        <v>-2585.1171334403161</v>
      </c>
      <c r="R10" s="31">
        <v>1.5896537787956799</v>
      </c>
      <c r="S10" s="31">
        <v>1146023735.3006201</v>
      </c>
      <c r="T10" s="108">
        <v>8203.6510794277547</v>
      </c>
      <c r="U10" s="33">
        <f>[1]Data!$S3693</f>
        <v>105947.421875</v>
      </c>
      <c r="V10" s="33">
        <v>9902.3930829926703</v>
      </c>
      <c r="W10" s="33">
        <v>1</v>
      </c>
      <c r="X10" s="33">
        <f>U10*DATA!V10/100</f>
        <v>13561.27</v>
      </c>
      <c r="Y10" s="33">
        <v>16021.194820855744</v>
      </c>
      <c r="Z10" s="33">
        <f t="shared" si="2"/>
        <v>-2459.9248208557437</v>
      </c>
      <c r="AA10" s="33">
        <v>37.6780209421416</v>
      </c>
      <c r="AB10" s="31">
        <v>1073533298.2322201</v>
      </c>
      <c r="AC10" s="41">
        <v>3791.7241637912639</v>
      </c>
      <c r="AD10" s="33">
        <f>[1]Data!$S8803</f>
        <v>19509.80859375</v>
      </c>
      <c r="AE10" s="33">
        <v>6248.6626962746795</v>
      </c>
      <c r="AF10" s="33">
        <v>13.3719416666667</v>
      </c>
      <c r="AG10" s="33">
        <f>AD10*DATA!AD10/100</f>
        <v>2477.74569140625</v>
      </c>
      <c r="AH10" s="33">
        <v>2675.032201506081</v>
      </c>
      <c r="AI10" s="33">
        <f t="shared" si="3"/>
        <v>-197.28651009983105</v>
      </c>
      <c r="AJ10" s="33">
        <v>5.9860418627951697</v>
      </c>
      <c r="AK10" s="33">
        <v>384021946.51415002</v>
      </c>
      <c r="AL10" s="56">
        <v>559.86021453952924</v>
      </c>
      <c r="AM10" s="58">
        <f>[1]Data!$S12373</f>
        <v>13798.5791015625</v>
      </c>
      <c r="AN10" s="58">
        <v>653.68611749721254</v>
      </c>
      <c r="AO10" s="58">
        <v>0.72365833333333296</v>
      </c>
      <c r="AP10" s="58">
        <f>AM10*DATA!AL10/100</f>
        <v>1683.4266503906249</v>
      </c>
      <c r="AQ10" s="58">
        <v>2186.7945460695773</v>
      </c>
      <c r="AR10" s="58">
        <f t="shared" si="4"/>
        <v>-503.36789567895244</v>
      </c>
      <c r="AS10" s="58"/>
      <c r="AT10" s="59">
        <v>12264400222.6423</v>
      </c>
    </row>
    <row r="11" spans="1:46" x14ac:dyDescent="0.45">
      <c r="A11" s="6">
        <v>2002</v>
      </c>
      <c r="B11" s="31">
        <v>15294.158055136986</v>
      </c>
      <c r="C11" s="31">
        <f>[1]Data!$S404</f>
        <v>576310.625</v>
      </c>
      <c r="D11" s="31">
        <v>13644.503114748626</v>
      </c>
      <c r="E11" s="31">
        <v>3.0632566666666667</v>
      </c>
      <c r="F11" s="31">
        <f>DATA!F11*C11/100</f>
        <v>62241.547500000001</v>
      </c>
      <c r="G11" s="31">
        <v>78876.035146294162</v>
      </c>
      <c r="H11" s="31">
        <f t="shared" si="0"/>
        <v>-16634.487646294161</v>
      </c>
      <c r="I11" s="31"/>
      <c r="J11" s="31">
        <v>10492424818.737499</v>
      </c>
      <c r="K11" s="41">
        <v>5274.8605883643413</v>
      </c>
      <c r="L11" s="31">
        <f>[1]Data!$S1664</f>
        <v>46117.125</v>
      </c>
      <c r="M11" s="31">
        <v>6714.9260620348668</v>
      </c>
      <c r="N11" s="31">
        <v>7.17</v>
      </c>
      <c r="O11" s="31">
        <f>DATA!N11*Complete!L11/100</f>
        <v>7332.622875</v>
      </c>
      <c r="P11" s="31">
        <v>9063.5016272496432</v>
      </c>
      <c r="Q11" s="31">
        <f t="shared" si="1"/>
        <v>-1730.8787522496432</v>
      </c>
      <c r="R11" s="31">
        <v>0.92825885161106103</v>
      </c>
      <c r="S11" s="31">
        <v>892729137.78994799</v>
      </c>
      <c r="T11" s="108">
        <v>8391.078879313789</v>
      </c>
      <c r="U11" s="33">
        <f>[1]Data!$S3694</f>
        <v>110287.8515625</v>
      </c>
      <c r="V11" s="33">
        <v>10485.908468303285</v>
      </c>
      <c r="W11" s="33">
        <v>1</v>
      </c>
      <c r="X11" s="33">
        <f>U11*DATA!V11/100</f>
        <v>14888.8599609375</v>
      </c>
      <c r="Y11" s="33">
        <v>14546.124282568926</v>
      </c>
      <c r="Z11" s="33">
        <f t="shared" si="2"/>
        <v>342.73567836857364</v>
      </c>
      <c r="AA11" s="33">
        <v>12.4840185721018</v>
      </c>
      <c r="AB11" s="31">
        <v>1004402765.69838</v>
      </c>
      <c r="AC11" s="41">
        <v>3766.1749450791367</v>
      </c>
      <c r="AD11" s="33">
        <f>[1]Data!$S8804</f>
        <v>19656.90234375</v>
      </c>
      <c r="AE11" s="33">
        <v>6124.1123271463684</v>
      </c>
      <c r="AF11" s="33">
        <v>14.251325250000001</v>
      </c>
      <c r="AG11" s="33">
        <f>AD11*DATA!AD11/100</f>
        <v>2634.0249140625001</v>
      </c>
      <c r="AH11" s="33">
        <v>2741.8992930105887</v>
      </c>
      <c r="AI11" s="33">
        <f t="shared" si="3"/>
        <v>-107.87437894808863</v>
      </c>
      <c r="AJ11" s="33">
        <v>3.7501746577846902</v>
      </c>
      <c r="AK11" s="33">
        <v>453205838.918311</v>
      </c>
      <c r="AL11" s="56">
        <v>501.0522622157178</v>
      </c>
      <c r="AM11" s="58">
        <f>[1]Data!$S12374</f>
        <v>12576.6162109375</v>
      </c>
      <c r="AN11" s="58">
        <v>530.59430767423078</v>
      </c>
      <c r="AO11" s="58">
        <v>1.1609499999999999</v>
      </c>
      <c r="AP11" s="58">
        <f>AM11*DATA!AL11/100</f>
        <v>1408.581015625</v>
      </c>
      <c r="AQ11" s="58">
        <v>1864.6030893322313</v>
      </c>
      <c r="AR11" s="58">
        <f t="shared" si="4"/>
        <v>-456.02207370723136</v>
      </c>
      <c r="AS11" s="58"/>
      <c r="AT11" s="59">
        <v>12106510810.7652</v>
      </c>
    </row>
    <row r="12" spans="1:46" x14ac:dyDescent="0.45">
      <c r="A12" s="6">
        <v>2003</v>
      </c>
      <c r="B12" s="48">
        <v>16468.222899743298</v>
      </c>
      <c r="C12" s="48">
        <f>[1]Data!$S405</f>
        <v>627239.5</v>
      </c>
      <c r="D12" s="48">
        <v>13826.707499988646</v>
      </c>
      <c r="E12" s="48">
        <v>2.9006291666666666</v>
      </c>
      <c r="F12" s="48">
        <f>DATA!F12*C12/100</f>
        <v>79032.176999999996</v>
      </c>
      <c r="G12" s="48">
        <v>76868.310237206519</v>
      </c>
      <c r="H12" s="48">
        <f t="shared" si="0"/>
        <v>2163.8667627934774</v>
      </c>
      <c r="I12" s="48"/>
      <c r="J12" s="48">
        <v>14157284136.3645</v>
      </c>
      <c r="K12" s="41">
        <v>5318.713332978884</v>
      </c>
      <c r="L12" s="31">
        <f>[1]Data!$S1665</f>
        <v>47367.51953125</v>
      </c>
      <c r="M12" s="31">
        <v>6939.8427868161734</v>
      </c>
      <c r="N12" s="31">
        <v>7.6591666666666667</v>
      </c>
      <c r="O12" s="31">
        <f>DATA!N12*Complete!L12/100</f>
        <v>7294.5980078125003</v>
      </c>
      <c r="P12" s="31">
        <v>8884.3553450555191</v>
      </c>
      <c r="Q12" s="31">
        <f t="shared" si="1"/>
        <v>-1589.7573372430188</v>
      </c>
      <c r="R12" s="31">
        <v>3.3372749967153301</v>
      </c>
      <c r="S12" s="31">
        <v>1096941369.79827</v>
      </c>
      <c r="T12" s="108">
        <v>8473.7163733487087</v>
      </c>
      <c r="U12" s="33">
        <f>[1]Data!$S3695</f>
        <v>113290.859375</v>
      </c>
      <c r="V12" s="33">
        <v>10942.609654980417</v>
      </c>
      <c r="W12" s="33">
        <v>1</v>
      </c>
      <c r="X12" s="33">
        <f>U12*DATA!V12/100</f>
        <v>14387.939140625</v>
      </c>
      <c r="Y12" s="33">
        <v>13903.246223647729</v>
      </c>
      <c r="Z12" s="33">
        <f t="shared" si="2"/>
        <v>484.69291697727022</v>
      </c>
      <c r="AA12" s="33">
        <v>7.9294100052341303</v>
      </c>
      <c r="AB12" s="31">
        <v>1165340428.48352</v>
      </c>
      <c r="AC12" s="41">
        <v>3808.0024741511816</v>
      </c>
      <c r="AD12" s="33">
        <f>[1]Data!$S8805</f>
        <v>20152.3984375</v>
      </c>
      <c r="AE12" s="33">
        <v>6110.9159913701887</v>
      </c>
      <c r="AF12" s="33">
        <v>15.104643333333334</v>
      </c>
      <c r="AG12" s="33">
        <f>AD12*DATA!AD12/100</f>
        <v>2982.5549687500002</v>
      </c>
      <c r="AH12" s="33">
        <v>2959.0137485677842</v>
      </c>
      <c r="AI12" s="33">
        <f t="shared" si="3"/>
        <v>23.541220182215966</v>
      </c>
      <c r="AJ12" s="33">
        <v>5.3023877321993798</v>
      </c>
      <c r="AK12" s="33">
        <v>508236348.46242702</v>
      </c>
      <c r="AL12" s="56">
        <v>454.0327236147495</v>
      </c>
      <c r="AM12" s="58">
        <f>[1]Data!$S12375</f>
        <v>11601.2734375</v>
      </c>
      <c r="AN12" s="58">
        <v>438.48929554838304</v>
      </c>
      <c r="AO12" s="58">
        <v>1.6069583333333299</v>
      </c>
      <c r="AP12" s="58">
        <f>AM12*DATA!AL12/100</f>
        <v>1380.5515390624998</v>
      </c>
      <c r="AQ12" s="58">
        <v>1804.6657649372937</v>
      </c>
      <c r="AR12" s="58">
        <f t="shared" si="4"/>
        <v>-424.11422587479387</v>
      </c>
      <c r="AS12" s="58"/>
      <c r="AT12" s="59">
        <v>20820560020.651299</v>
      </c>
    </row>
    <row r="13" spans="1:46" x14ac:dyDescent="0.45">
      <c r="A13" s="6">
        <v>2004</v>
      </c>
      <c r="B13" s="57">
        <v>17766.730683478625</v>
      </c>
      <c r="C13" s="57">
        <f>[1]Data!$S406</f>
        <v>683876.5</v>
      </c>
      <c r="D13" s="57">
        <v>14811.075132691652</v>
      </c>
      <c r="E13" s="57">
        <v>2.9233008189033192</v>
      </c>
      <c r="F13" s="57">
        <f>DATA!F13*C13/100</f>
        <v>97110.462999999989</v>
      </c>
      <c r="G13" s="57">
        <v>74725.202386252582</v>
      </c>
      <c r="H13" s="57">
        <f t="shared" si="0"/>
        <v>22385.260613747407</v>
      </c>
      <c r="I13" s="57"/>
      <c r="J13" s="57">
        <v>19659591803.978802</v>
      </c>
      <c r="K13" s="41">
        <v>5440.9628944698552</v>
      </c>
      <c r="L13" s="31">
        <f>[1]Data!$S1666</f>
        <v>49344.3046875</v>
      </c>
      <c r="M13" s="31">
        <v>6546.4261299038571</v>
      </c>
      <c r="N13" s="31">
        <v>7.9362666666666666</v>
      </c>
      <c r="O13" s="31">
        <f>DATA!N13*Complete!L13/100</f>
        <v>8684.5976250000003</v>
      </c>
      <c r="P13" s="31">
        <v>8623.2246060543694</v>
      </c>
      <c r="Q13" s="31">
        <f t="shared" si="1"/>
        <v>61.373018945630974</v>
      </c>
      <c r="R13" s="31">
        <v>4.4373808010172402</v>
      </c>
      <c r="S13" s="31">
        <v>1271422924.68151</v>
      </c>
      <c r="T13" s="108">
        <v>9016.600240630085</v>
      </c>
      <c r="U13" s="33">
        <f>[1]Data!$S3696</f>
        <v>122593.1953125</v>
      </c>
      <c r="V13" s="33">
        <v>11354.863149384197</v>
      </c>
      <c r="W13" s="33">
        <v>1</v>
      </c>
      <c r="X13" s="33">
        <f>U13*DATA!V13/100</f>
        <v>15691.929000000002</v>
      </c>
      <c r="Y13" s="33">
        <v>13631.180155100534</v>
      </c>
      <c r="Z13" s="33">
        <f t="shared" si="2"/>
        <v>2060.7488448994682</v>
      </c>
      <c r="AA13" s="33">
        <v>2.7421813294164399</v>
      </c>
      <c r="AB13" s="31">
        <v>1439913954.6356599</v>
      </c>
      <c r="AC13" s="41">
        <v>3955.859611999027</v>
      </c>
      <c r="AD13" s="33">
        <f>[1]Data!$S8806</f>
        <v>21222.9296875</v>
      </c>
      <c r="AE13" s="33">
        <v>6187.8543429312449</v>
      </c>
      <c r="AF13" s="33">
        <v>15.937247316462733</v>
      </c>
      <c r="AG13" s="33">
        <f>AD13*DATA!AD13/100</f>
        <v>3247.1082421874999</v>
      </c>
      <c r="AH13" s="33">
        <v>3194.7419060062384</v>
      </c>
      <c r="AI13" s="33">
        <f t="shared" si="3"/>
        <v>52.366336181261431</v>
      </c>
      <c r="AJ13" s="33">
        <v>8.4702106358407399</v>
      </c>
      <c r="AK13" s="33">
        <v>668198634.90663302</v>
      </c>
      <c r="AL13" s="56">
        <v>527.86640109950565</v>
      </c>
      <c r="AM13" s="58">
        <f>[1]Data!$S12376</f>
        <v>13722.728515625</v>
      </c>
      <c r="AN13" s="58">
        <v>503.6583047292886</v>
      </c>
      <c r="AO13" s="58">
        <v>1.89133333333333</v>
      </c>
      <c r="AP13" s="58">
        <f>AM13*DATA!AL13/100</f>
        <v>1825.1228925781252</v>
      </c>
      <c r="AQ13" s="58">
        <v>1813.3991955954698</v>
      </c>
      <c r="AR13" s="58">
        <f t="shared" si="4"/>
        <v>11.723696982655383</v>
      </c>
      <c r="AS13" s="58"/>
      <c r="AT13" s="59">
        <v>23408050057.212799</v>
      </c>
    </row>
    <row r="14" spans="1:46" x14ac:dyDescent="0.45">
      <c r="A14" s="6">
        <v>2005</v>
      </c>
      <c r="B14" s="57">
        <v>19140.007730453643</v>
      </c>
      <c r="C14" s="57">
        <f>[1]Data!$S407</f>
        <v>744411</v>
      </c>
      <c r="D14" s="57">
        <v>16020.628520860671</v>
      </c>
      <c r="E14" s="57">
        <v>2.9036575</v>
      </c>
      <c r="F14" s="57">
        <f>DATA!F14*C14/100</f>
        <v>107939.595</v>
      </c>
      <c r="G14" s="57">
        <v>78996.97687625885</v>
      </c>
      <c r="H14" s="57">
        <f t="shared" si="0"/>
        <v>28942.618123741151</v>
      </c>
      <c r="I14" s="57"/>
      <c r="J14" s="57">
        <v>28081718501.557899</v>
      </c>
      <c r="K14" s="41">
        <v>5581.0486804434349</v>
      </c>
      <c r="L14" s="31">
        <f>[1]Data!$S1667</f>
        <v>51525.94921875</v>
      </c>
      <c r="M14" s="31">
        <v>6551.699740712972</v>
      </c>
      <c r="N14" s="31">
        <v>8.066062500000001</v>
      </c>
      <c r="O14" s="31">
        <f>DATA!N14*Complete!L14/100</f>
        <v>9789.9303515624997</v>
      </c>
      <c r="P14" s="31">
        <v>8473.9623892464442</v>
      </c>
      <c r="Q14" s="31">
        <f t="shared" si="1"/>
        <v>1315.9679623160555</v>
      </c>
      <c r="R14" s="31">
        <v>5.3932310689066396</v>
      </c>
      <c r="S14" s="31">
        <v>1794984952.8081999</v>
      </c>
      <c r="T14" s="108">
        <v>9336.1357445225603</v>
      </c>
      <c r="U14" s="33">
        <f>[1]Data!$S3697</f>
        <v>129079.984375</v>
      </c>
      <c r="V14" s="33">
        <v>12042.493122238693</v>
      </c>
      <c r="W14" s="33">
        <v>1</v>
      </c>
      <c r="X14" s="33">
        <f>U14*DATA!V14/100</f>
        <v>17167.637921875001</v>
      </c>
      <c r="Y14" s="33">
        <v>12882.565922573209</v>
      </c>
      <c r="Z14" s="33">
        <f t="shared" si="2"/>
        <v>4285.0719993017919</v>
      </c>
      <c r="AA14" s="33">
        <v>2.4077697831568998</v>
      </c>
      <c r="AB14" s="31">
        <v>2147944603.1967402</v>
      </c>
      <c r="AC14" s="41">
        <v>4069.3217110875971</v>
      </c>
      <c r="AD14" s="33">
        <f>[1]Data!$S8807</f>
        <v>22131.779296875</v>
      </c>
      <c r="AE14" s="33">
        <v>6217.9682633015573</v>
      </c>
      <c r="AF14" s="33">
        <v>16.733329534050181</v>
      </c>
      <c r="AG14" s="33">
        <f>AD14*DATA!AD14/100</f>
        <v>3563.2164667968755</v>
      </c>
      <c r="AH14" s="33">
        <v>3472.1955996830366</v>
      </c>
      <c r="AI14" s="33">
        <f t="shared" si="3"/>
        <v>91.020867113838904</v>
      </c>
      <c r="AJ14" s="33">
        <v>9.5990998606442606</v>
      </c>
      <c r="AK14" s="33">
        <v>727807750.90758395</v>
      </c>
      <c r="AL14" s="56">
        <v>572.72892491281641</v>
      </c>
      <c r="AM14" s="58">
        <f>[1]Data!$S12377</f>
        <v>15138.626953125</v>
      </c>
      <c r="AN14" s="58">
        <v>516.0866499814482</v>
      </c>
      <c r="AO14" s="58">
        <v>2.08975</v>
      </c>
      <c r="AP14" s="58">
        <f>AM14*DATA!AL14/100</f>
        <v>2407.0416855468748</v>
      </c>
      <c r="AQ14" s="58">
        <v>1708.2401357556519</v>
      </c>
      <c r="AR14" s="58">
        <f t="shared" si="4"/>
        <v>698.8015497912229</v>
      </c>
      <c r="AS14" s="58"/>
      <c r="AT14" s="59">
        <v>29802940547.694599</v>
      </c>
    </row>
    <row r="15" spans="1:46" x14ac:dyDescent="0.45">
      <c r="A15" s="6">
        <v>2006</v>
      </c>
      <c r="B15" s="57">
        <v>20471.298294690554</v>
      </c>
      <c r="C15" s="57">
        <f>[1]Data!$S408</f>
        <v>804314.8125</v>
      </c>
      <c r="D15" s="57">
        <v>17545.915044372108</v>
      </c>
      <c r="E15" s="57">
        <v>3.054313333333333</v>
      </c>
      <c r="F15" s="57">
        <f>DATA!F15*C15/100</f>
        <v>118234.27743749999</v>
      </c>
      <c r="G15" s="57">
        <v>90554.221184045076</v>
      </c>
      <c r="H15" s="57">
        <f t="shared" si="0"/>
        <v>27680.05625345491</v>
      </c>
      <c r="I15" s="57"/>
      <c r="J15" s="57">
        <v>32022297112.980598</v>
      </c>
      <c r="K15" s="47">
        <v>5747.2220950181609</v>
      </c>
      <c r="L15" s="48">
        <f>[1]Data!$S1668</f>
        <v>53997.71484375</v>
      </c>
      <c r="M15" s="48">
        <v>6190.3187297057593</v>
      </c>
      <c r="N15" s="48">
        <v>8.0116166666666668</v>
      </c>
      <c r="O15" s="48">
        <f>DATA!N15*Complete!L15/100</f>
        <v>9881.5818164062493</v>
      </c>
      <c r="P15" s="48">
        <v>8245.9519115852891</v>
      </c>
      <c r="Q15" s="48">
        <f t="shared" si="1"/>
        <v>1635.6299048209603</v>
      </c>
      <c r="R15" s="48">
        <v>4.2823960480256504</v>
      </c>
      <c r="S15" s="48">
        <v>3193982720.1209798</v>
      </c>
      <c r="T15" s="108">
        <v>9585.3417190966557</v>
      </c>
      <c r="U15" s="33">
        <f>[1]Data!$S3698</f>
        <v>134764</v>
      </c>
      <c r="V15" s="33">
        <v>12602.422101301347</v>
      </c>
      <c r="W15" s="33">
        <v>1</v>
      </c>
      <c r="X15" s="33">
        <f>U15*DATA!V15/100</f>
        <v>19136.487999999998</v>
      </c>
      <c r="Y15" s="33">
        <v>13215.716507613659</v>
      </c>
      <c r="Z15" s="33">
        <f t="shared" si="2"/>
        <v>5920.7714923863387</v>
      </c>
      <c r="AA15" s="33">
        <v>3.2987484625821799</v>
      </c>
      <c r="AB15" s="31">
        <v>2026480313.6912899</v>
      </c>
      <c r="AC15" s="41">
        <v>4180.5759656563041</v>
      </c>
      <c r="AD15" s="33">
        <f>[1]Data!$S8808</f>
        <v>23050.705078125</v>
      </c>
      <c r="AE15" s="33">
        <v>6302.2916676125396</v>
      </c>
      <c r="AF15" s="33">
        <v>17.569998431899641</v>
      </c>
      <c r="AG15" s="33">
        <f>AD15*DATA!AD15/100</f>
        <v>3964.7212734374998</v>
      </c>
      <c r="AH15" s="33">
        <v>3668.6912119585031</v>
      </c>
      <c r="AI15" s="33">
        <f t="shared" si="3"/>
        <v>296.03006147899669</v>
      </c>
      <c r="AJ15" s="33">
        <v>9.1401996677771997</v>
      </c>
      <c r="AK15" s="33">
        <v>921891810.93880701</v>
      </c>
      <c r="AL15" s="56">
        <v>619.47941896155396</v>
      </c>
      <c r="AM15" s="58">
        <f>[1]Data!$S12378</f>
        <v>16633.142578125</v>
      </c>
      <c r="AN15" s="58">
        <v>569.62010019242348</v>
      </c>
      <c r="AO15" s="58">
        <v>2.1469999999999998</v>
      </c>
      <c r="AP15" s="58">
        <f>AM15*DATA!AL15/100</f>
        <v>2711.2022402343755</v>
      </c>
      <c r="AQ15" s="58">
        <v>1872.7964094239578</v>
      </c>
      <c r="AR15" s="58">
        <f t="shared" si="4"/>
        <v>838.40583081041768</v>
      </c>
      <c r="AS15" s="58"/>
      <c r="AT15" s="59">
        <v>36715128120.243797</v>
      </c>
    </row>
    <row r="16" spans="1:46" x14ac:dyDescent="0.45">
      <c r="A16" s="6">
        <v>2007</v>
      </c>
      <c r="B16" s="57">
        <v>22093.492841437652</v>
      </c>
      <c r="C16" s="57">
        <f>[1]Data!$S409</f>
        <v>876764.6875</v>
      </c>
      <c r="D16" s="57">
        <v>18859.560677885689</v>
      </c>
      <c r="E16" s="57">
        <v>3.095648849206349</v>
      </c>
      <c r="F16" s="57">
        <f>DATA!F16*C16/100</f>
        <v>136775.29125000001</v>
      </c>
      <c r="G16" s="57">
        <v>109193.59473899473</v>
      </c>
      <c r="H16" s="57">
        <f t="shared" si="0"/>
        <v>27581.696511005284</v>
      </c>
      <c r="I16" s="57"/>
      <c r="J16" s="57">
        <v>46149456855.780197</v>
      </c>
      <c r="K16" s="56">
        <v>5907.067844053825</v>
      </c>
      <c r="L16" s="57">
        <f>[1]Data!$S1669</f>
        <v>56462.34765625</v>
      </c>
      <c r="M16" s="57">
        <v>6280.5787798738702</v>
      </c>
      <c r="N16" s="57">
        <v>7.8512451612500005</v>
      </c>
      <c r="O16" s="57">
        <f>DATA!N16*Complete!L16/100</f>
        <v>10671.383707031249</v>
      </c>
      <c r="P16" s="57">
        <v>8091.7904266723781</v>
      </c>
      <c r="Q16" s="57">
        <f t="shared" si="1"/>
        <v>2579.5932803588712</v>
      </c>
      <c r="R16" s="57">
        <v>8.7056092357886907</v>
      </c>
      <c r="S16" s="57">
        <v>5313631986.1459398</v>
      </c>
      <c r="T16" s="109">
        <v>9632.7716351566323</v>
      </c>
      <c r="U16" s="49">
        <f>[1]Data!$S3699</f>
        <v>137715.46875</v>
      </c>
      <c r="V16" s="49">
        <v>12831.09431194259</v>
      </c>
      <c r="W16" s="49">
        <v>1</v>
      </c>
      <c r="X16" s="49">
        <f>U16*DATA!V16/100</f>
        <v>20381.889374999999</v>
      </c>
      <c r="Y16" s="49">
        <v>13831.097562062787</v>
      </c>
      <c r="Z16" s="49">
        <f t="shared" si="2"/>
        <v>6550.7918129372119</v>
      </c>
      <c r="AA16" s="49">
        <v>2.2761847800211998</v>
      </c>
      <c r="AB16" s="48">
        <v>3520672992.4577899</v>
      </c>
      <c r="AC16" s="47">
        <v>4332.8449893382094</v>
      </c>
      <c r="AD16" s="49">
        <f>[1]Data!$S8809</f>
        <v>24220.841796875</v>
      </c>
      <c r="AE16" s="49">
        <v>6448.049322763176</v>
      </c>
      <c r="AF16" s="49">
        <v>18.448506159754221</v>
      </c>
      <c r="AG16" s="49">
        <f>AD16*DATA!AD16/100</f>
        <v>4238.6473144531246</v>
      </c>
      <c r="AH16" s="49">
        <v>3707.4843215271248</v>
      </c>
      <c r="AI16" s="49">
        <f t="shared" si="3"/>
        <v>531.16299292599979</v>
      </c>
      <c r="AJ16" s="49">
        <v>11.1269347446119</v>
      </c>
      <c r="AK16" s="49">
        <v>1103322447.1090901</v>
      </c>
      <c r="AL16" s="56">
        <v>663.88068932926603</v>
      </c>
      <c r="AM16" s="58">
        <f>[1]Data!$S12379</f>
        <v>18089.162109375</v>
      </c>
      <c r="AN16" s="58">
        <v>641.48323676677342</v>
      </c>
      <c r="AO16" s="58">
        <v>2.1469999999999998</v>
      </c>
      <c r="AP16" s="58">
        <f>AM16*DATA!AL16/100</f>
        <v>3038.979234375</v>
      </c>
      <c r="AQ16" s="58">
        <v>2193.4612443112565</v>
      </c>
      <c r="AR16" s="58">
        <f t="shared" si="4"/>
        <v>845.51799006374358</v>
      </c>
      <c r="AS16" s="58"/>
      <c r="AT16" s="59">
        <v>33759218864.923599</v>
      </c>
    </row>
    <row r="17" spans="1:46" x14ac:dyDescent="0.45">
      <c r="A17" s="6">
        <v>2008</v>
      </c>
      <c r="B17" s="57">
        <v>22762.809891477478</v>
      </c>
      <c r="C17" s="57">
        <f>[1]Data!$S410</f>
        <v>912337.0625</v>
      </c>
      <c r="D17" s="57">
        <v>21202.423213867489</v>
      </c>
      <c r="E17" s="57">
        <v>3.1441645598845596</v>
      </c>
      <c r="F17" s="57">
        <f>DATA!F17*C17/100</f>
        <v>148710.94118749999</v>
      </c>
      <c r="G17" s="57">
        <v>126681.10393690132</v>
      </c>
      <c r="H17" s="57">
        <f t="shared" si="0"/>
        <v>22029.837250598677</v>
      </c>
      <c r="I17" s="57"/>
      <c r="J17" s="57">
        <v>46385380206.980103</v>
      </c>
      <c r="K17" s="56">
        <v>6165.1207216533658</v>
      </c>
      <c r="L17" s="57">
        <f>[1]Data!$S1670</f>
        <v>59933.9375</v>
      </c>
      <c r="M17" s="57">
        <v>6191.905597086431</v>
      </c>
      <c r="N17" s="57">
        <v>7.2383206989166666</v>
      </c>
      <c r="O17" s="57">
        <f>DATA!N17*Complete!L17/100</f>
        <v>12166.589312500002</v>
      </c>
      <c r="P17" s="57">
        <v>7608.3800160204992</v>
      </c>
      <c r="Q17" s="57">
        <f t="shared" si="1"/>
        <v>4558.2092964795029</v>
      </c>
      <c r="R17" s="57">
        <v>14.006810770251899</v>
      </c>
      <c r="S17" s="57">
        <v>7719766413.099</v>
      </c>
      <c r="T17" s="110">
        <v>10076.558113075642</v>
      </c>
      <c r="U17" s="58">
        <f>[1]Data!$S3700</f>
        <v>146470.21875</v>
      </c>
      <c r="V17" s="58">
        <v>13825.822925252809</v>
      </c>
      <c r="W17" s="58">
        <v>1</v>
      </c>
      <c r="X17" s="58">
        <f>U17*DATA!V17/100</f>
        <v>21384.651937500003</v>
      </c>
      <c r="Y17" s="58">
        <v>15072.963870118372</v>
      </c>
      <c r="Z17" s="58">
        <f t="shared" si="2"/>
        <v>6311.6880673816304</v>
      </c>
      <c r="AA17" s="58">
        <v>8.4000959398746193</v>
      </c>
      <c r="AB17" s="57">
        <v>4472854631.2803097</v>
      </c>
      <c r="AC17" s="56">
        <v>4420.5206167449387</v>
      </c>
      <c r="AD17" s="58">
        <f>[1]Data!$S8810</f>
        <v>25053</v>
      </c>
      <c r="AE17" s="58">
        <v>6642.5126277351674</v>
      </c>
      <c r="AF17" s="58">
        <v>19.371896406501051</v>
      </c>
      <c r="AG17" s="58">
        <f>AD17*DATA!AD17/100</f>
        <v>4233.9569999999994</v>
      </c>
      <c r="AH17" s="58">
        <v>4073.6878770142794</v>
      </c>
      <c r="AI17" s="58">
        <f t="shared" si="3"/>
        <v>160.26912298572006</v>
      </c>
      <c r="AJ17" s="58">
        <v>19.826203128742801</v>
      </c>
      <c r="AK17" s="58">
        <v>1140842519.60378</v>
      </c>
      <c r="AL17" s="56">
        <v>689.1009090345101</v>
      </c>
      <c r="AM17" s="58">
        <f>[1]Data!$S12380</f>
        <v>19043.876953125</v>
      </c>
      <c r="AN17" s="58">
        <v>602.49919688628734</v>
      </c>
      <c r="AO17" s="58">
        <v>2.1469999999999998</v>
      </c>
      <c r="AP17" s="58">
        <f>AM17*DATA!AL17/100</f>
        <v>2685.1866503906249</v>
      </c>
      <c r="AQ17" s="58">
        <v>2214.966093924595</v>
      </c>
      <c r="AR17" s="58">
        <f t="shared" si="4"/>
        <v>470.22055646602985</v>
      </c>
      <c r="AS17" s="58"/>
      <c r="AT17" s="59">
        <v>43065463087.277802</v>
      </c>
    </row>
    <row r="18" spans="1:46" x14ac:dyDescent="0.45">
      <c r="A18" s="6">
        <v>2009</v>
      </c>
      <c r="B18" s="57">
        <v>21202.595717962904</v>
      </c>
      <c r="C18" s="57">
        <f>[1]Data!$S411</f>
        <v>858340.1875</v>
      </c>
      <c r="D18" s="57">
        <v>21693.25578689816</v>
      </c>
      <c r="E18" s="57">
        <v>3.7101068305232801</v>
      </c>
      <c r="F18" s="57">
        <f>DATA!F18*C18/100</f>
        <v>143342.81131250001</v>
      </c>
      <c r="G18" s="57">
        <v>153793.7335633114</v>
      </c>
      <c r="H18" s="57">
        <f t="shared" si="0"/>
        <v>-10450.922250811389</v>
      </c>
      <c r="I18" s="57"/>
      <c r="J18" s="57">
        <v>48006988635.325302</v>
      </c>
      <c r="K18" s="56">
        <v>6266.8122243932366</v>
      </c>
      <c r="L18" s="57">
        <f>[1]Data!$S1671</f>
        <v>61946.06640625</v>
      </c>
      <c r="M18" s="57">
        <v>6761.4325184742438</v>
      </c>
      <c r="N18" s="57">
        <v>7.02</v>
      </c>
      <c r="O18" s="57">
        <f>DATA!N18*Complete!L18/100</f>
        <v>12822.835746093748</v>
      </c>
      <c r="P18" s="57">
        <v>7487.453915435588</v>
      </c>
      <c r="Q18" s="57">
        <f t="shared" si="1"/>
        <v>5335.3818306581597</v>
      </c>
      <c r="R18" s="57">
        <v>3.3464542014201202</v>
      </c>
      <c r="S18" s="57">
        <v>8574579206.4963598</v>
      </c>
      <c r="T18" s="110">
        <v>9969.9297075811555</v>
      </c>
      <c r="U18" s="58">
        <f>[1]Data!$S3701</f>
        <v>147299.96875</v>
      </c>
      <c r="V18" s="58">
        <v>14070.382667470027</v>
      </c>
      <c r="W18" s="58">
        <v>1</v>
      </c>
      <c r="X18" s="58">
        <f>U18*DATA!V18/100</f>
        <v>22684.195187500001</v>
      </c>
      <c r="Y18" s="58">
        <v>17614.347656361293</v>
      </c>
      <c r="Z18" s="58">
        <f t="shared" si="2"/>
        <v>5069.8475311387083</v>
      </c>
      <c r="AA18" s="58">
        <v>5.1599682918104604</v>
      </c>
      <c r="AB18" s="57">
        <v>3792122231.6349001</v>
      </c>
      <c r="AC18" s="56">
        <v>4216.8615877162511</v>
      </c>
      <c r="AD18" s="58">
        <f>[1]Data!$S8811</f>
        <v>24228.087890625</v>
      </c>
      <c r="AE18" s="58">
        <v>6284.3151011365817</v>
      </c>
      <c r="AF18" s="58">
        <v>20.339481870199702</v>
      </c>
      <c r="AG18" s="58">
        <f>AD18*DATA!AD18/100</f>
        <v>4167.2311171874999</v>
      </c>
      <c r="AH18" s="58">
        <v>4132.3152889780467</v>
      </c>
      <c r="AI18" s="58">
        <f t="shared" si="3"/>
        <v>34.915828209453139</v>
      </c>
      <c r="AJ18" s="58">
        <v>3.6870016049880099</v>
      </c>
      <c r="AK18" s="58">
        <v>1573082251.3917201</v>
      </c>
      <c r="AL18" s="56">
        <v>657.6294694966208</v>
      </c>
      <c r="AM18" s="58">
        <f>[1]Data!$S12381</f>
        <v>18434.017578125</v>
      </c>
      <c r="AN18" s="58">
        <v>685.61976231428537</v>
      </c>
      <c r="AO18" s="58">
        <v>2.1469999999999998</v>
      </c>
      <c r="AP18" s="58">
        <f>AM18*DATA!AL18/100</f>
        <v>2636.0645136718749</v>
      </c>
      <c r="AQ18" s="58">
        <v>2663.6158699506195</v>
      </c>
      <c r="AR18" s="58">
        <f t="shared" si="4"/>
        <v>-27.551356278744606</v>
      </c>
      <c r="AS18" s="58">
        <v>27.0809414466131</v>
      </c>
      <c r="AT18" s="59">
        <v>34317956993.545799</v>
      </c>
    </row>
    <row r="19" spans="1:46" x14ac:dyDescent="0.45">
      <c r="A19" s="6">
        <v>2010</v>
      </c>
      <c r="B19" s="57">
        <v>23113.661352895528</v>
      </c>
      <c r="C19" s="57">
        <f>[1]Data!$S412</f>
        <v>945250.5625</v>
      </c>
      <c r="D19" s="57">
        <v>23044.233885250469</v>
      </c>
      <c r="E19" s="57">
        <v>3.8962951544704998</v>
      </c>
      <c r="F19" s="57">
        <f>DATA!F19*C19/100</f>
        <v>162583.09675</v>
      </c>
      <c r="G19" s="57">
        <v>187205.35951594543</v>
      </c>
      <c r="H19" s="57">
        <f t="shared" si="0"/>
        <v>-24622.26276594543</v>
      </c>
      <c r="I19" s="57"/>
      <c r="J19" s="57">
        <v>52207549724.092796</v>
      </c>
      <c r="K19" s="56">
        <v>6419.0454052508867</v>
      </c>
      <c r="L19" s="57">
        <f>[1]Data!$S1672</f>
        <v>64502.35546875</v>
      </c>
      <c r="M19" s="57">
        <v>6537.6288452712879</v>
      </c>
      <c r="N19" s="57">
        <v>7.0166666666666702</v>
      </c>
      <c r="O19" s="57">
        <f>DATA!N19*Complete!L19/100</f>
        <v>12448.954605468751</v>
      </c>
      <c r="P19" s="57">
        <v>7081.1977729513601</v>
      </c>
      <c r="Q19" s="57">
        <f t="shared" si="1"/>
        <v>5367.7568325173906</v>
      </c>
      <c r="R19" s="57">
        <v>2.5032760584423999</v>
      </c>
      <c r="S19" s="57">
        <v>9730683978.9249496</v>
      </c>
      <c r="T19" s="110">
        <v>10158.65233413343</v>
      </c>
      <c r="U19" s="58">
        <f>[1]Data!$S3702</f>
        <v>152492.71875</v>
      </c>
      <c r="V19" s="58">
        <v>14556.455738105498</v>
      </c>
      <c r="W19" s="58">
        <v>1</v>
      </c>
      <c r="X19" s="58">
        <f>U19*DATA!V19/100</f>
        <v>24093.849562500003</v>
      </c>
      <c r="Y19" s="58">
        <v>18140.578220332973</v>
      </c>
      <c r="Z19" s="58">
        <f t="shared" si="2"/>
        <v>5953.2713421670305</v>
      </c>
      <c r="AA19" s="58">
        <v>3.5543773456784602</v>
      </c>
      <c r="AB19" s="57">
        <v>2622493356.3825202</v>
      </c>
      <c r="AC19" s="56">
        <v>4343.4563772253568</v>
      </c>
      <c r="AD19" s="58">
        <f>[1]Data!$S8812</f>
        <v>25296.572265625</v>
      </c>
      <c r="AE19" s="58">
        <v>6382.570063406295</v>
      </c>
      <c r="AF19" s="58">
        <v>21.356448683435801</v>
      </c>
      <c r="AG19" s="58">
        <f>AD19*DATA!AD19/100</f>
        <v>4553.3830078125002</v>
      </c>
      <c r="AH19" s="58">
        <v>4370.1693517969397</v>
      </c>
      <c r="AI19" s="58">
        <f t="shared" si="3"/>
        <v>183.21365601556045</v>
      </c>
      <c r="AJ19" s="58">
        <v>5.4551342588741498</v>
      </c>
      <c r="AK19" s="58">
        <v>1798981293.1979699</v>
      </c>
      <c r="AL19" s="56">
        <v>638.52378468449649</v>
      </c>
      <c r="AM19" s="58">
        <f>[1]Data!$S12382</f>
        <v>18159.578125</v>
      </c>
      <c r="AN19" s="58">
        <v>555.75092442582945</v>
      </c>
      <c r="AO19" s="58">
        <v>2.5820603174603201</v>
      </c>
      <c r="AP19" s="58">
        <f>AM19*DATA!AL19/100</f>
        <v>2160.9897968750001</v>
      </c>
      <c r="AQ19" s="58">
        <v>2436.4756618614774</v>
      </c>
      <c r="AR19" s="58">
        <f t="shared" si="4"/>
        <v>-275.48586498647728</v>
      </c>
      <c r="AS19" s="58">
        <v>28.187464709203901</v>
      </c>
      <c r="AT19" s="59">
        <v>29665473906.390499</v>
      </c>
    </row>
    <row r="20" spans="1:46" x14ac:dyDescent="0.45">
      <c r="A20" s="6">
        <v>2011</v>
      </c>
      <c r="B20" s="57">
        <v>24249.53564211469</v>
      </c>
      <c r="C20" s="57">
        <f>[1]Data!$S413</f>
        <v>1002002.9375</v>
      </c>
      <c r="D20" s="57">
        <v>25642.085640325255</v>
      </c>
      <c r="E20" s="57">
        <v>4.1101395762132604</v>
      </c>
      <c r="F20" s="57">
        <f>DATA!F20*C20/100</f>
        <v>171342.50231250003</v>
      </c>
      <c r="G20" s="57">
        <v>231180.69777015038</v>
      </c>
      <c r="H20" s="57">
        <f t="shared" si="0"/>
        <v>-59838.195457650349</v>
      </c>
      <c r="I20" s="57"/>
      <c r="J20" s="57">
        <v>46265800525.880699</v>
      </c>
      <c r="K20" s="56">
        <v>6644.412392829734</v>
      </c>
      <c r="L20" s="57">
        <f>[1]Data!$S1673</f>
        <v>67859.078125</v>
      </c>
      <c r="M20" s="57">
        <v>6748.3689302661905</v>
      </c>
      <c r="N20" s="57">
        <v>6.9369624999999999</v>
      </c>
      <c r="O20" s="57">
        <f>DATA!N20*Complete!L20/100</f>
        <v>16421.89690625</v>
      </c>
      <c r="P20" s="57">
        <v>6979.707964617759</v>
      </c>
      <c r="Q20" s="57">
        <f t="shared" si="1"/>
        <v>9442.188941632241</v>
      </c>
      <c r="R20" s="57">
        <v>9.8844641982388701</v>
      </c>
      <c r="S20" s="57">
        <v>11994673114.823099</v>
      </c>
      <c r="T20" s="110">
        <v>10790.626752342119</v>
      </c>
      <c r="U20" s="58">
        <f>[1]Data!$S3703</f>
        <v>164491.0625</v>
      </c>
      <c r="V20" s="58">
        <v>15682.954815878367</v>
      </c>
      <c r="W20" s="58">
        <v>1</v>
      </c>
      <c r="X20" s="58">
        <f>U20*DATA!V20/100</f>
        <v>28456.9538125</v>
      </c>
      <c r="Y20" s="58">
        <v>19976.602406902239</v>
      </c>
      <c r="Z20" s="58">
        <f t="shared" si="2"/>
        <v>8480.3514055977612</v>
      </c>
      <c r="AA20" s="58">
        <v>4.4745326579583597</v>
      </c>
      <c r="AB20" s="57">
        <v>2957999383.6445098</v>
      </c>
      <c r="AC20" s="56">
        <v>4556.0381192001278</v>
      </c>
      <c r="AD20" s="58">
        <f>[1]Data!$S8813</f>
        <v>26894.470703125</v>
      </c>
      <c r="AE20" s="58">
        <v>6604.7000495232423</v>
      </c>
      <c r="AF20" s="58">
        <v>22.424270616359401</v>
      </c>
      <c r="AG20" s="58">
        <f>AD20*DATA!AD20/100</f>
        <v>5056.1604921875005</v>
      </c>
      <c r="AH20" s="58">
        <v>4715.2235499269445</v>
      </c>
      <c r="AI20" s="58">
        <f t="shared" si="3"/>
        <v>340.93694226055595</v>
      </c>
      <c r="AJ20" s="58">
        <v>8.0823879809911006</v>
      </c>
      <c r="AK20" s="58">
        <v>1892248423.80235</v>
      </c>
      <c r="AL20" s="56">
        <v>654.87732575526331</v>
      </c>
      <c r="AM20" s="58">
        <f>[1]Data!$S12383</f>
        <v>18918.013671875</v>
      </c>
      <c r="AN20" s="58">
        <v>565.8536593595984</v>
      </c>
      <c r="AO20" s="58">
        <v>4.2892999999999999</v>
      </c>
      <c r="AP20" s="58">
        <f>AM20*DATA!AL20/100</f>
        <v>2459.34177734375</v>
      </c>
      <c r="AQ20" s="58">
        <v>2676.1295562908344</v>
      </c>
      <c r="AR20" s="58">
        <f t="shared" si="4"/>
        <v>-216.78777894708446</v>
      </c>
      <c r="AS20" s="58">
        <v>26.090212316095499</v>
      </c>
      <c r="AT20" s="59">
        <v>27934651458.855598</v>
      </c>
    </row>
    <row r="21" spans="1:46" x14ac:dyDescent="0.45">
      <c r="A21" s="6">
        <v>2012</v>
      </c>
      <c r="B21" s="57">
        <v>23750.771640492359</v>
      </c>
      <c r="C21" s="57">
        <f>[1]Data!$S414</f>
        <v>991718.125</v>
      </c>
      <c r="D21" s="57">
        <v>27452.676796893738</v>
      </c>
      <c r="E21" s="57">
        <v>4.5369343601874599</v>
      </c>
      <c r="F21" s="57">
        <f>DATA!F21*C21/100</f>
        <v>176525.82625000001</v>
      </c>
      <c r="G21" s="57">
        <v>238965.09588371031</v>
      </c>
      <c r="H21" s="57">
        <f t="shared" si="0"/>
        <v>-62439.269633710297</v>
      </c>
      <c r="I21" s="57"/>
      <c r="J21" s="57">
        <v>43223270863.843002</v>
      </c>
      <c r="K21" s="56">
        <v>6873.8904367895093</v>
      </c>
      <c r="L21" s="57">
        <f>[1]Data!$S1674</f>
        <v>71335.0078125</v>
      </c>
      <c r="M21" s="57">
        <v>6879.1069796223319</v>
      </c>
      <c r="N21" s="57">
        <v>6.91</v>
      </c>
      <c r="O21" s="57">
        <f>DATA!N21*Complete!L21/100</f>
        <v>17833.751953125</v>
      </c>
      <c r="P21" s="57">
        <v>6398.2106340999599</v>
      </c>
      <c r="Q21" s="57">
        <f t="shared" si="1"/>
        <v>11435.54131902504</v>
      </c>
      <c r="R21" s="57">
        <v>4.5156029139936802</v>
      </c>
      <c r="S21" s="57">
        <v>13924289443.08</v>
      </c>
      <c r="T21" s="110">
        <v>11229.834531259685</v>
      </c>
      <c r="U21" s="58">
        <f>[1]Data!$S3704</f>
        <v>173771.59375</v>
      </c>
      <c r="V21" s="58">
        <v>16524.836238369036</v>
      </c>
      <c r="W21" s="58">
        <v>1</v>
      </c>
      <c r="X21" s="58">
        <f>U21*DATA!V21/100</f>
        <v>33537.917593749997</v>
      </c>
      <c r="Y21" s="58">
        <v>19635.204485808965</v>
      </c>
      <c r="Z21" s="58">
        <f t="shared" si="2"/>
        <v>13902.713107941032</v>
      </c>
      <c r="AA21" s="58">
        <v>5.1017218095867003</v>
      </c>
      <c r="AB21" s="57">
        <v>2486036143.6835699</v>
      </c>
      <c r="AC21" s="56">
        <v>4787.5379584643679</v>
      </c>
      <c r="AD21" s="58">
        <f>[1]Data!$S8814</f>
        <v>28641.5703125</v>
      </c>
      <c r="AE21" s="58">
        <v>6749.4482097088239</v>
      </c>
      <c r="AF21" s="58">
        <v>23.546663531083901</v>
      </c>
      <c r="AG21" s="58">
        <f>AD21*DATA!AD21/100</f>
        <v>5556.4646406249994</v>
      </c>
      <c r="AH21" s="58">
        <v>4828.6211447021924</v>
      </c>
      <c r="AI21" s="58">
        <f t="shared" si="3"/>
        <v>727.84349592280705</v>
      </c>
      <c r="AJ21" s="58">
        <v>7.1935505333895202</v>
      </c>
      <c r="AK21" s="58">
        <v>1887214938.20452</v>
      </c>
      <c r="AL21" s="56">
        <v>680.57733887150425</v>
      </c>
      <c r="AM21" s="58">
        <f>[1]Data!$S12384</f>
        <v>19982.3203125</v>
      </c>
      <c r="AN21" s="58">
        <v>648.55443995007647</v>
      </c>
      <c r="AO21" s="58">
        <v>4.2892999999999999</v>
      </c>
      <c r="AP21" s="58">
        <f>AM21*DATA!AL21/100</f>
        <v>2857.4718046875</v>
      </c>
      <c r="AQ21" s="58">
        <v>2801.0982707322109</v>
      </c>
      <c r="AR21" s="58">
        <f t="shared" si="4"/>
        <v>56.373533955289076</v>
      </c>
      <c r="AS21" s="58">
        <v>21.0689956331878</v>
      </c>
      <c r="AT21" s="59">
        <v>29468789162.6861</v>
      </c>
    </row>
    <row r="22" spans="1:46" x14ac:dyDescent="0.45">
      <c r="A22" s="6">
        <v>2013</v>
      </c>
      <c r="B22" s="57">
        <v>24067.955859828518</v>
      </c>
      <c r="C22" s="57">
        <f>[1]Data!$S415</f>
        <v>1015572.1875</v>
      </c>
      <c r="D22" s="57">
        <v>28883.892633828014</v>
      </c>
      <c r="E22" s="57">
        <v>5.4593526646570396</v>
      </c>
      <c r="F22" s="57">
        <f>DATA!F22*C22/100</f>
        <v>177725.1328125</v>
      </c>
      <c r="G22" s="57">
        <v>261670.75751789846</v>
      </c>
      <c r="H22" s="57">
        <f t="shared" si="0"/>
        <v>-83945.624705398455</v>
      </c>
      <c r="I22" s="57"/>
      <c r="J22" s="57">
        <v>30533919650.6264</v>
      </c>
      <c r="K22" s="56">
        <v>7226.3537257774033</v>
      </c>
      <c r="L22" s="57">
        <f>[1]Data!$S1675</f>
        <v>76182.9453125</v>
      </c>
      <c r="M22" s="57">
        <v>7277.70804413103</v>
      </c>
      <c r="N22" s="57">
        <v>6.91</v>
      </c>
      <c r="O22" s="57">
        <f>DATA!N22*Complete!L22/100</f>
        <v>19655.199890625001</v>
      </c>
      <c r="P22" s="57">
        <v>7215.2975243667606</v>
      </c>
      <c r="Q22" s="57">
        <f t="shared" si="1"/>
        <v>12439.90236625824</v>
      </c>
      <c r="R22" s="57">
        <v>5.73640023719613</v>
      </c>
      <c r="S22" s="57">
        <v>14429068711.3771</v>
      </c>
      <c r="T22" s="110">
        <v>11610.219361177997</v>
      </c>
      <c r="U22" s="58">
        <f>[1]Data!$S3705</f>
        <v>182367.21875</v>
      </c>
      <c r="V22" s="58">
        <v>16533.926414618789</v>
      </c>
      <c r="W22" s="58">
        <v>1</v>
      </c>
      <c r="X22" s="58">
        <f>U22*DATA!V22/100</f>
        <v>34832.138781250003</v>
      </c>
      <c r="Y22" s="58">
        <v>21871.959372648736</v>
      </c>
      <c r="Z22" s="58">
        <f t="shared" si="2"/>
        <v>12960.179408601267</v>
      </c>
      <c r="AA22" s="58">
        <v>2.7217757771036499</v>
      </c>
      <c r="AB22" s="57">
        <v>4345840333.4675703</v>
      </c>
      <c r="AC22" s="56">
        <v>4957.193021121635</v>
      </c>
      <c r="AD22" s="58">
        <f>[1]Data!$S8815</f>
        <v>30052.76953125</v>
      </c>
      <c r="AE22" s="58">
        <v>6914.9151648611742</v>
      </c>
      <c r="AF22" s="58">
        <v>24.7227641666667</v>
      </c>
      <c r="AG22" s="58">
        <f>AD22*DATA!AD22/100</f>
        <v>5920.3955976562493</v>
      </c>
      <c r="AH22" s="58">
        <v>5410.4763241782202</v>
      </c>
      <c r="AI22" s="58">
        <f t="shared" si="3"/>
        <v>509.91927347802903</v>
      </c>
      <c r="AJ22" s="58">
        <v>7.1354678528940001</v>
      </c>
      <c r="AK22" s="58">
        <v>1992960773.02599</v>
      </c>
      <c r="AL22" s="56">
        <v>679.98662855209227</v>
      </c>
      <c r="AM22" s="58">
        <f>[1]Data!$S12385</f>
        <v>20250.708984375</v>
      </c>
      <c r="AN22" s="58">
        <v>635.41777164386974</v>
      </c>
      <c r="AO22" s="58">
        <v>6.0479618416666696</v>
      </c>
      <c r="AP22" s="58">
        <f>AM22*DATA!AL22/100</f>
        <v>2916.1020937500002</v>
      </c>
      <c r="AQ22" s="58">
        <v>3204.5438154155854</v>
      </c>
      <c r="AR22" s="58">
        <f t="shared" si="4"/>
        <v>-288.44172166558519</v>
      </c>
      <c r="AS22" s="58">
        <v>40.639427516158797</v>
      </c>
      <c r="AT22" s="59">
        <v>20275216409.445702</v>
      </c>
    </row>
    <row r="23" spans="1:46" x14ac:dyDescent="0.45">
      <c r="A23" s="6">
        <v>2014</v>
      </c>
      <c r="B23" s="57">
        <v>23220.275451819878</v>
      </c>
      <c r="C23" s="57">
        <f>[1]Data!$S416</f>
        <v>990054.75</v>
      </c>
      <c r="D23" s="57">
        <v>27782.430182901</v>
      </c>
      <c r="E23" s="57">
        <v>8.0752759928133404</v>
      </c>
      <c r="F23" s="57">
        <f>DATA!F23*C23/100</f>
        <v>171279.47175</v>
      </c>
      <c r="G23" s="57">
        <v>266991.02454301715</v>
      </c>
      <c r="H23" s="57">
        <f t="shared" si="0"/>
        <v>-95711.552793017152</v>
      </c>
      <c r="I23" s="57"/>
      <c r="J23" s="57">
        <v>31410813269.523899</v>
      </c>
      <c r="K23" s="56">
        <v>7504.117439639801</v>
      </c>
      <c r="L23" s="57">
        <f>[1]Data!$S1676</f>
        <v>80342.9609375</v>
      </c>
      <c r="M23" s="57">
        <v>7640.1738343997222</v>
      </c>
      <c r="N23" s="57">
        <v>6.91</v>
      </c>
      <c r="O23" s="57">
        <f>DATA!N23*Complete!L23/100</f>
        <v>21612.256492187498</v>
      </c>
      <c r="P23" s="57">
        <v>8315.7760950153461</v>
      </c>
      <c r="Q23" s="57">
        <f t="shared" si="1"/>
        <v>13296.480397172152</v>
      </c>
      <c r="R23" s="57">
        <v>5.7666007457913997</v>
      </c>
      <c r="S23" s="57">
        <v>15129277524.0077</v>
      </c>
      <c r="T23" s="110">
        <v>11865.519902406244</v>
      </c>
      <c r="U23" s="58">
        <f>[1]Data!$S3706</f>
        <v>189276.875</v>
      </c>
      <c r="V23" s="58">
        <v>16822.864769726868</v>
      </c>
      <c r="W23" s="58">
        <v>1</v>
      </c>
      <c r="X23" s="58">
        <f>U23*DATA!V23/100</f>
        <v>35584.052499999998</v>
      </c>
      <c r="Y23" s="58">
        <v>24097.762720203027</v>
      </c>
      <c r="Z23" s="58">
        <f t="shared" si="2"/>
        <v>11486.289779796971</v>
      </c>
      <c r="AA23" s="58">
        <v>3.5892201661666898</v>
      </c>
      <c r="AB23" s="57">
        <v>3941357097.57337</v>
      </c>
      <c r="AC23" s="56">
        <v>5126.5363229726327</v>
      </c>
      <c r="AD23" s="58">
        <f>[1]Data!$S8816</f>
        <v>31490.93359375</v>
      </c>
      <c r="AE23" s="58">
        <v>6998.3724164359073</v>
      </c>
      <c r="AF23" s="58">
        <v>25.958900366743499</v>
      </c>
      <c r="AG23" s="58">
        <f>AD23*DATA!AD23/100</f>
        <v>6361.1685859374993</v>
      </c>
      <c r="AH23" s="58">
        <v>5980.9010182495695</v>
      </c>
      <c r="AI23" s="58">
        <f t="shared" si="3"/>
        <v>380.26756768792984</v>
      </c>
      <c r="AJ23" s="58">
        <v>6.0359686179843104</v>
      </c>
      <c r="AK23" s="58">
        <v>2276176780.7117</v>
      </c>
      <c r="AL23" s="56">
        <v>647.80758345846527</v>
      </c>
      <c r="AM23" s="58">
        <f>[1]Data!$S12386</f>
        <v>19462.0625</v>
      </c>
      <c r="AN23" s="58">
        <v>733.02848106752617</v>
      </c>
      <c r="AO23" s="58">
        <v>8.3394934503672395</v>
      </c>
      <c r="AP23" s="58" t="e">
        <f>AM23*DATA!AL23/100</f>
        <v>#VALUE!</v>
      </c>
      <c r="AQ23" s="58">
        <v>3599.7734110001475</v>
      </c>
      <c r="AR23" s="58" t="e">
        <f t="shared" si="4"/>
        <v>#VALUE!</v>
      </c>
      <c r="AS23" s="58">
        <v>62.168649979483</v>
      </c>
      <c r="AT23" s="59">
        <v>21454894042.424301</v>
      </c>
    </row>
    <row r="24" spans="1:46" x14ac:dyDescent="0.45">
      <c r="A24" s="6">
        <v>2015</v>
      </c>
      <c r="B24" s="68">
        <v>23611.954206083585</v>
      </c>
      <c r="C24" s="68">
        <f>[1]Data!$S417</f>
        <v>1017094.75</v>
      </c>
      <c r="D24" s="68">
        <v>27863.56640457709</v>
      </c>
      <c r="E24" s="68">
        <v>9.2331855247242896</v>
      </c>
      <c r="F24" s="68">
        <f>DATA!F24*C24/100</f>
        <v>174940.29699999999</v>
      </c>
      <c r="G24" s="68">
        <v>294208.76790743321</v>
      </c>
      <c r="H24" s="68">
        <f t="shared" si="0"/>
        <v>-119268.47090743322</v>
      </c>
      <c r="I24" s="68"/>
      <c r="J24" s="68">
        <v>25520565580.489399</v>
      </c>
      <c r="K24" s="56">
        <v>7750.4562843327303</v>
      </c>
      <c r="L24" s="57">
        <f>[1]Data!$S1677</f>
        <v>84245.3671875</v>
      </c>
      <c r="M24" s="57">
        <v>8349.9942061719867</v>
      </c>
      <c r="N24" s="57">
        <v>6.91</v>
      </c>
      <c r="O24" s="57">
        <f>DATA!N24*Complete!L24/100</f>
        <v>23925.68428125</v>
      </c>
      <c r="P24" s="57">
        <v>10577.863413701649</v>
      </c>
      <c r="Q24" s="57">
        <f t="shared" si="1"/>
        <v>13347.820867548351</v>
      </c>
      <c r="R24" s="57">
        <v>4.0596104113564602</v>
      </c>
      <c r="S24" s="57">
        <v>13049620686.068701</v>
      </c>
      <c r="T24" s="110">
        <v>11686.638409340725</v>
      </c>
      <c r="U24" s="58">
        <f>[1]Data!$S3707</f>
        <v>189464.015625</v>
      </c>
      <c r="V24" s="58">
        <v>16485.431012632962</v>
      </c>
      <c r="W24" s="58">
        <v>1</v>
      </c>
      <c r="X24" s="58">
        <f>U24*DATA!V24/100</f>
        <v>39408.515249999997</v>
      </c>
      <c r="Y24" s="58">
        <v>25767.245863782009</v>
      </c>
      <c r="Z24" s="58">
        <f t="shared" si="2"/>
        <v>13641.269386217988</v>
      </c>
      <c r="AA24" s="58">
        <v>3.9666462325535399</v>
      </c>
      <c r="AB24" s="57">
        <v>2487276599.5640502</v>
      </c>
      <c r="AC24" s="56">
        <v>5302.7141006935299</v>
      </c>
      <c r="AD24" s="58">
        <f>[1]Data!$S8817</f>
        <v>33000.0625</v>
      </c>
      <c r="AE24" s="58">
        <v>7200.0948733755104</v>
      </c>
      <c r="AF24" s="58">
        <v>27.256844940476199</v>
      </c>
      <c r="AG24" s="58">
        <f>AD24*DATA!AD24/100</f>
        <v>6864.0130000000008</v>
      </c>
      <c r="AH24" s="58">
        <v>6549.5562173100188</v>
      </c>
      <c r="AI24" s="58">
        <f t="shared" si="3"/>
        <v>314.45678268998199</v>
      </c>
      <c r="AJ24" s="58">
        <v>3.99737996694398</v>
      </c>
      <c r="AK24" s="58">
        <v>2492262791.9388099</v>
      </c>
      <c r="AL24" s="56">
        <v>606.72028483956217</v>
      </c>
      <c r="AM24" s="58">
        <f>[1]Data!$S12387</f>
        <v>18251.255859375</v>
      </c>
      <c r="AN24" s="58">
        <v>602.71018731718164</v>
      </c>
      <c r="AO24" s="58">
        <v>17.5097945851021</v>
      </c>
      <c r="AP24" s="58" t="e">
        <f>AM24*DATA!AL24/100</f>
        <v>#VALUE!</v>
      </c>
      <c r="AQ24" s="58">
        <v>3127.0369820223714</v>
      </c>
      <c r="AR24" s="58" t="e">
        <f t="shared" si="4"/>
        <v>#VALUE!</v>
      </c>
      <c r="AS24" s="58">
        <v>121.738085297504</v>
      </c>
      <c r="AT24" s="59">
        <v>15625329211.522301</v>
      </c>
    </row>
    <row r="25" spans="1:46" x14ac:dyDescent="0.45">
      <c r="A25" s="6">
        <v>2016</v>
      </c>
      <c r="B25" s="31">
        <v>22890.624317661441</v>
      </c>
      <c r="C25" s="31">
        <f>[1]Data!$S418</f>
        <v>995935.8125</v>
      </c>
      <c r="D25" s="31">
        <v>27465.510561327705</v>
      </c>
      <c r="E25" s="31">
        <v>14.7581750873396</v>
      </c>
      <c r="F25" s="31">
        <f>DATA!F25*C25/100</f>
        <v>170305.02393749999</v>
      </c>
      <c r="G25" s="31">
        <v>287301.37337278947</v>
      </c>
      <c r="H25" s="31">
        <f t="shared" si="0"/>
        <v>-116996.34943528948</v>
      </c>
      <c r="I25" s="31"/>
      <c r="J25" s="31">
        <v>38414518491.613197</v>
      </c>
      <c r="K25" s="56">
        <v>7962.1998533060842</v>
      </c>
      <c r="L25" s="57">
        <f>[1]Data!$S1678</f>
        <v>87837.5078125</v>
      </c>
      <c r="M25" s="57">
        <v>8497.8695370499736</v>
      </c>
      <c r="N25" s="57">
        <v>6.91</v>
      </c>
      <c r="O25" s="57">
        <f>DATA!N25*Complete!L25/100</f>
        <v>23364.777078125</v>
      </c>
      <c r="P25" s="57">
        <v>11226.633720062324</v>
      </c>
      <c r="Q25" s="57">
        <f t="shared" si="1"/>
        <v>12138.143358062676</v>
      </c>
      <c r="R25" s="57">
        <v>3.6232143176413798</v>
      </c>
      <c r="S25" s="57">
        <v>10053627485.0797</v>
      </c>
      <c r="T25" s="110">
        <v>11347.955658367815</v>
      </c>
      <c r="U25" s="58">
        <f>[1]Data!$S3708</f>
        <v>187140.453125</v>
      </c>
      <c r="V25" s="58">
        <v>16095.847030784349</v>
      </c>
      <c r="W25" s="58">
        <v>1</v>
      </c>
      <c r="X25" s="58">
        <f>U25*DATA!V25/100</f>
        <v>36305.247906249999</v>
      </c>
      <c r="Y25" s="58">
        <v>26563.582738821162</v>
      </c>
      <c r="Z25" s="58">
        <f t="shared" si="2"/>
        <v>9741.6651674288369</v>
      </c>
      <c r="AA25" s="58">
        <v>1.72826463324535</v>
      </c>
      <c r="AB25" s="57">
        <v>4215553160.0567698</v>
      </c>
      <c r="AC25" s="56">
        <v>5473.6752166173283</v>
      </c>
      <c r="AD25" s="58">
        <f>[1]Data!$S8818</f>
        <v>34505.90625</v>
      </c>
      <c r="AE25" s="58">
        <v>7316.3748323780246</v>
      </c>
      <c r="AF25" s="58">
        <v>28.6209624101587</v>
      </c>
      <c r="AG25" s="58">
        <f>AD25*DATA!AD25/100</f>
        <v>7522.2875624999997</v>
      </c>
      <c r="AH25" s="58">
        <v>7148.7035912289284</v>
      </c>
      <c r="AI25" s="58">
        <f t="shared" si="3"/>
        <v>373.58397127107128</v>
      </c>
      <c r="AJ25" s="58">
        <v>3.52317317628476</v>
      </c>
      <c r="AK25" s="58">
        <v>2447771381.8108602</v>
      </c>
      <c r="AL25" s="56">
        <v>507.22087521948413</v>
      </c>
      <c r="AM25" s="58">
        <f>[1]Data!$S12388</f>
        <v>15141.1796875</v>
      </c>
      <c r="AN25" s="58">
        <v>509.01632465572641</v>
      </c>
      <c r="AO25" s="58">
        <v>73.003827946473606</v>
      </c>
      <c r="AP25" s="58" t="e">
        <f>AM25*DATA!AL25/100</f>
        <v>#VALUE!</v>
      </c>
      <c r="AQ25" s="58">
        <v>3417.8440152186668</v>
      </c>
      <c r="AR25" s="58" t="e">
        <f t="shared" si="4"/>
        <v>#VALUE!</v>
      </c>
      <c r="AS25" s="58">
        <v>254.948534781815</v>
      </c>
      <c r="AT25" s="59">
        <v>10150000483.5116</v>
      </c>
    </row>
    <row r="26" spans="1:46" x14ac:dyDescent="0.45">
      <c r="A26" s="6">
        <v>2017</v>
      </c>
      <c r="B26" s="31">
        <v>23272.184989737612</v>
      </c>
      <c r="C26" s="31">
        <f>[1]Data!$S419</f>
        <v>1022513.25</v>
      </c>
      <c r="D26" s="31">
        <v>27761.42679079733</v>
      </c>
      <c r="E26" s="31">
        <v>16.5627069251411</v>
      </c>
      <c r="F26" s="31">
        <f>DATA!F26*C26/100</f>
        <v>160534.58025</v>
      </c>
      <c r="G26" s="31">
        <v>227802.94154976681</v>
      </c>
      <c r="H26" s="31">
        <f t="shared" si="0"/>
        <v>-67268.36129976681</v>
      </c>
      <c r="I26" s="31"/>
      <c r="J26" s="31">
        <v>55314409205.218903</v>
      </c>
      <c r="K26" s="56">
        <v>8176.866793592877</v>
      </c>
      <c r="L26" s="57">
        <f>[1]Data!$S1679</f>
        <v>91522.484375</v>
      </c>
      <c r="M26" s="57">
        <v>8654.1929712162546</v>
      </c>
      <c r="N26" s="57">
        <v>6.91</v>
      </c>
      <c r="O26" s="57">
        <f>DATA!N26*Complete!L26/100</f>
        <v>22331.486187499999</v>
      </c>
      <c r="P26" s="57">
        <v>11802.575791701907</v>
      </c>
      <c r="Q26" s="57">
        <f t="shared" si="1"/>
        <v>10528.910395798091</v>
      </c>
      <c r="R26" s="57">
        <v>2.8227580554717</v>
      </c>
      <c r="S26" s="57">
        <v>10245969449.6731</v>
      </c>
      <c r="T26" s="111">
        <v>11413.080235509979</v>
      </c>
      <c r="U26" s="71">
        <f>[1]Data!$S3709</f>
        <v>191572.671875</v>
      </c>
      <c r="V26" s="71">
        <v>16008.864762184885</v>
      </c>
      <c r="W26" s="71">
        <v>1</v>
      </c>
      <c r="X26" s="71">
        <f>U26*DATA!V26/100</f>
        <v>36973.525671875002</v>
      </c>
      <c r="Y26" s="71">
        <v>28058.449409148889</v>
      </c>
      <c r="Z26" s="71">
        <f t="shared" si="2"/>
        <v>8915.0762627261138</v>
      </c>
      <c r="AA26" s="71">
        <v>0.41733558866680298</v>
      </c>
      <c r="AB26" s="68">
        <v>2169697856.6482</v>
      </c>
      <c r="AC26" s="56">
        <v>5654.6305600009773</v>
      </c>
      <c r="AD26" s="58">
        <f>[1]Data!$S8819</f>
        <v>36103.9453125</v>
      </c>
      <c r="AE26" s="58">
        <v>7460.8417361366901</v>
      </c>
      <c r="AF26" s="58">
        <v>30.0509413442878</v>
      </c>
      <c r="AG26" s="58">
        <f>AD26*DATA!AD26/100</f>
        <v>8051.1798046875001</v>
      </c>
      <c r="AH26" s="58">
        <v>7674.8985195747809</v>
      </c>
      <c r="AI26" s="58">
        <f t="shared" si="3"/>
        <v>376.28128511271916</v>
      </c>
      <c r="AJ26" s="58">
        <v>3.8506716628472502</v>
      </c>
      <c r="AK26" s="58">
        <v>2757785586.6649799</v>
      </c>
      <c r="AL26" s="56">
        <v>434.26074907693175</v>
      </c>
      <c r="AM26" s="58">
        <f>[1]Data!$S12389</f>
        <v>12768.3447265625</v>
      </c>
      <c r="AN26" s="58">
        <v>439.55311495820638</v>
      </c>
      <c r="AO26" s="58">
        <v>607.68822435838001</v>
      </c>
      <c r="AP26" s="58" t="e">
        <f>AM26*DATA!AL26/100</f>
        <v>#VALUE!</v>
      </c>
      <c r="AQ26" s="58">
        <v>2751.2272165080503</v>
      </c>
      <c r="AR26" s="58" t="e">
        <f t="shared" si="4"/>
        <v>#VALUE!</v>
      </c>
      <c r="AS26" s="58"/>
      <c r="AT26" s="59">
        <v>9794062064.6210804</v>
      </c>
    </row>
    <row r="27" spans="1:46" x14ac:dyDescent="0.45">
      <c r="A27" s="6">
        <v>2018</v>
      </c>
      <c r="B27" s="31">
        <v>22477.700082166491</v>
      </c>
      <c r="C27" s="31">
        <f>[1]Data!$S420</f>
        <v>997136.625</v>
      </c>
      <c r="D27" s="31">
        <v>26936.096778248695</v>
      </c>
      <c r="E27" s="31">
        <v>28.094991666666701</v>
      </c>
      <c r="F27" s="31">
        <f>DATA!F27*C27/100</f>
        <v>144584.81062500001</v>
      </c>
      <c r="G27" s="31">
        <v>216377.12480770983</v>
      </c>
      <c r="H27" s="31">
        <f t="shared" si="0"/>
        <v>-71792.314182709815</v>
      </c>
      <c r="I27" s="31"/>
      <c r="J27" s="31">
        <v>66221501691.441803</v>
      </c>
      <c r="K27" s="56">
        <v>8401.9086962886577</v>
      </c>
      <c r="L27" s="57">
        <f>[1]Data!$S1680</f>
        <v>95388.0625</v>
      </c>
      <c r="M27" s="57">
        <v>8801.2568826888473</v>
      </c>
      <c r="N27" s="57">
        <v>6.91</v>
      </c>
      <c r="O27" s="57">
        <f>DATA!N27*Complete!L27/100</f>
        <v>22606.9708125</v>
      </c>
      <c r="P27" s="57">
        <v>12365.037930347025</v>
      </c>
      <c r="Q27" s="57">
        <f t="shared" si="1"/>
        <v>10241.932882152974</v>
      </c>
      <c r="R27" s="57">
        <v>2.27205987230148</v>
      </c>
      <c r="S27" s="57">
        <v>8929614182.5361404</v>
      </c>
      <c r="T27" s="108">
        <v>11357.910515279533</v>
      </c>
      <c r="U27" s="33">
        <f>[1]Data!$S3710</f>
        <v>194042.609375</v>
      </c>
      <c r="V27" s="33">
        <v>15843.31815486911</v>
      </c>
      <c r="W27" s="33">
        <v>1</v>
      </c>
      <c r="X27" s="33">
        <f>U27*DATA!V27/100</f>
        <v>39002.564484375005</v>
      </c>
      <c r="Y27" s="33">
        <v>28953.246373300208</v>
      </c>
      <c r="Z27" s="33">
        <f t="shared" si="2"/>
        <v>10049.318111074797</v>
      </c>
      <c r="AA27" s="33">
        <v>-0.224103246005465</v>
      </c>
      <c r="AB27" s="31">
        <v>2158694032.4143</v>
      </c>
      <c r="AC27" s="56">
        <v>5363.4982231075364</v>
      </c>
      <c r="AD27" s="58">
        <f>[1]Data!$S8820</f>
        <v>34677.703125</v>
      </c>
      <c r="AE27" s="58">
        <v>7200.1195107291869</v>
      </c>
      <c r="AF27" s="58">
        <v>31.5532123338754</v>
      </c>
      <c r="AG27" s="58">
        <f>AD27*DATA!AD27/100</f>
        <v>7525.0615781249999</v>
      </c>
      <c r="AH27" s="58">
        <v>7783.2195188838523</v>
      </c>
      <c r="AI27" s="58">
        <f t="shared" si="3"/>
        <v>-258.15794075885242</v>
      </c>
      <c r="AJ27" s="58">
        <v>4.94723728039882</v>
      </c>
      <c r="AK27" s="58">
        <v>2261143360.12993</v>
      </c>
      <c r="AL27" s="56">
        <v>355.27980900084947</v>
      </c>
      <c r="AM27" s="58">
        <f>[1]Data!$S12390</f>
        <v>10263.009765625</v>
      </c>
      <c r="AN27" s="58">
        <v>363.90050974280365</v>
      </c>
      <c r="AO27" s="58">
        <v>388549.29344608402</v>
      </c>
      <c r="AP27" s="58" t="e">
        <f>AM27*DATA!AL27/100</f>
        <v>#VALUE!</v>
      </c>
      <c r="AQ27" s="58">
        <v>2159.0286426102684</v>
      </c>
      <c r="AR27" s="58" t="e">
        <f t="shared" si="4"/>
        <v>#VALUE!</v>
      </c>
      <c r="AS27" s="58"/>
      <c r="AT27" s="59"/>
    </row>
    <row r="28" spans="1:46" x14ac:dyDescent="0.45">
      <c r="A28" s="6">
        <v>2019</v>
      </c>
      <c r="B28" s="31">
        <v>21785.490201499189</v>
      </c>
      <c r="C28" s="31">
        <f>[1]Data!$S421</f>
        <v>975569</v>
      </c>
      <c r="D28" s="31">
        <v>25704.775107941521</v>
      </c>
      <c r="E28" s="31">
        <v>48.147891666666702</v>
      </c>
      <c r="F28" s="31">
        <f>DATA!F28*C28/100</f>
        <v>142433.07399999999</v>
      </c>
      <c r="G28" s="31">
        <v>218940.36030681431</v>
      </c>
      <c r="H28" s="31">
        <f t="shared" si="0"/>
        <v>-76507.28630681432</v>
      </c>
      <c r="I28" s="31"/>
      <c r="J28" s="31">
        <v>44880566052.3703</v>
      </c>
      <c r="K28" s="72">
        <v>8468.8331932754863</v>
      </c>
      <c r="L28" s="68">
        <f>[1]Data!$S1681</f>
        <v>97502.5234375</v>
      </c>
      <c r="M28" s="68">
        <v>8767.5342502662152</v>
      </c>
      <c r="N28" s="68">
        <v>6.91</v>
      </c>
      <c r="O28" s="68">
        <f>DATA!N28*Complete!L28/100</f>
        <v>23010.595531250001</v>
      </c>
      <c r="P28" s="68">
        <v>12882.094256136916</v>
      </c>
      <c r="Q28" s="68">
        <f t="shared" si="1"/>
        <v>10128.501275113085</v>
      </c>
      <c r="R28" s="68">
        <v>1.8395450496903201</v>
      </c>
      <c r="S28" s="68">
        <v>6455449941.6787996</v>
      </c>
      <c r="T28" s="108">
        <v>11174.778703821912</v>
      </c>
      <c r="U28" s="33">
        <f>[1]Data!$S3711</f>
        <v>194146.828125</v>
      </c>
      <c r="V28" s="33">
        <v>15701.851019403648</v>
      </c>
      <c r="W28" s="33">
        <v>1</v>
      </c>
      <c r="X28" s="33">
        <f>U28*DATA!V28/100</f>
        <v>37858.631484375001</v>
      </c>
      <c r="Y28" s="33">
        <v>28651.719795146026</v>
      </c>
      <c r="Z28" s="33">
        <f t="shared" si="2"/>
        <v>9206.9116892289749</v>
      </c>
      <c r="AA28" s="33">
        <v>0.26601251546613602</v>
      </c>
      <c r="AB28" s="31">
        <v>2940235064.0846901</v>
      </c>
      <c r="AC28" s="56">
        <v>5092.4408901334073</v>
      </c>
      <c r="AD28" s="58">
        <f>[1]Data!$S8821</f>
        <v>33332.58203125</v>
      </c>
      <c r="AE28" s="58">
        <v>6912.0171733588495</v>
      </c>
      <c r="AF28" s="58">
        <v>33.121745265283998</v>
      </c>
      <c r="AG28" s="58">
        <f>AD28*DATA!AD28/100</f>
        <v>8033.1522695312506</v>
      </c>
      <c r="AH28" s="58">
        <v>7805.9036446312675</v>
      </c>
      <c r="AI28" s="58">
        <f t="shared" si="3"/>
        <v>227.24862489998304</v>
      </c>
      <c r="AJ28" s="58">
        <v>5.3762899084412998</v>
      </c>
      <c r="AK28" s="58">
        <v>2397444668.92872</v>
      </c>
      <c r="AL28" s="56">
        <v>233.93870312125591</v>
      </c>
      <c r="AM28" s="58">
        <f>[1]Data!$S12391</f>
        <v>6670.9560546875</v>
      </c>
      <c r="AN28" s="58">
        <v>244.47438392369375</v>
      </c>
      <c r="AO28" s="58">
        <v>76369942.275532097</v>
      </c>
      <c r="AP28" s="58" t="e">
        <f>AM28*DATA!AL28/100</f>
        <v>#VALUE!</v>
      </c>
      <c r="AQ28" s="58">
        <v>1403.4666687914578</v>
      </c>
      <c r="AR28" s="58" t="e">
        <f t="shared" si="4"/>
        <v>#VALUE!</v>
      </c>
      <c r="AS28" s="58"/>
      <c r="AT28" s="59"/>
    </row>
    <row r="29" spans="1:46" x14ac:dyDescent="0.45">
      <c r="A29" s="6">
        <v>2020</v>
      </c>
      <c r="B29" s="31">
        <v>0</v>
      </c>
      <c r="C29" s="31">
        <f>[1]Data!$S422</f>
        <v>0</v>
      </c>
      <c r="D29" s="31"/>
      <c r="E29" s="31"/>
      <c r="F29" s="31"/>
      <c r="G29" s="31"/>
      <c r="H29" s="31"/>
      <c r="I29" s="31"/>
      <c r="J29" s="31">
        <v>39403734630.122803</v>
      </c>
      <c r="K29" s="41"/>
      <c r="L29" s="31"/>
      <c r="M29" s="31"/>
      <c r="N29" s="31"/>
      <c r="O29" s="31"/>
      <c r="P29" s="31"/>
      <c r="Q29" s="31"/>
      <c r="R29" s="31">
        <v>0.94074215338182299</v>
      </c>
      <c r="S29" s="31">
        <v>5247234668.7963495</v>
      </c>
      <c r="T29" s="108"/>
      <c r="U29" s="33"/>
      <c r="V29" s="33"/>
      <c r="W29" s="33"/>
      <c r="X29" s="33"/>
      <c r="Y29" s="33"/>
      <c r="Z29" s="33"/>
      <c r="AA29" s="33">
        <v>-0.33887239256227403</v>
      </c>
      <c r="AB29" s="31">
        <v>6569460538.8840504</v>
      </c>
      <c r="AC29" s="56"/>
      <c r="AD29" s="58"/>
      <c r="AE29" s="58"/>
      <c r="AF29" s="58"/>
      <c r="AG29" s="58"/>
      <c r="AH29" s="58"/>
      <c r="AI29" s="58"/>
      <c r="AJ29" s="58">
        <v>3.6818134162557299</v>
      </c>
      <c r="AK29" s="58">
        <v>3211903361.95717</v>
      </c>
      <c r="AL29" s="56"/>
      <c r="AM29" s="58"/>
      <c r="AN29" s="58"/>
      <c r="AO29" s="58"/>
      <c r="AP29" s="58"/>
      <c r="AQ29" s="58"/>
      <c r="AR29" s="58"/>
      <c r="AS29" s="58"/>
      <c r="AT29" s="59"/>
    </row>
    <row r="30" spans="1:46" ht="14.65" thickBot="1" x14ac:dyDescent="0.5">
      <c r="A30" s="6">
        <v>2021</v>
      </c>
      <c r="B30" s="85">
        <v>0</v>
      </c>
      <c r="C30" s="85">
        <f>[1]Data!$S423</f>
        <v>0</v>
      </c>
      <c r="D30" s="85"/>
      <c r="E30" s="85"/>
      <c r="F30" s="85"/>
      <c r="G30" s="85"/>
      <c r="H30" s="85"/>
      <c r="I30" s="85"/>
      <c r="J30" s="85"/>
      <c r="K30" s="86"/>
      <c r="L30" s="85"/>
      <c r="M30" s="85"/>
      <c r="N30" s="85"/>
      <c r="O30" s="85"/>
      <c r="P30" s="85"/>
      <c r="Q30" s="85"/>
      <c r="R30" s="85"/>
      <c r="S30" s="85"/>
      <c r="T30" s="112"/>
      <c r="U30" s="87"/>
      <c r="V30" s="87"/>
      <c r="W30" s="87"/>
      <c r="X30" s="87"/>
      <c r="Y30" s="87"/>
      <c r="Z30" s="87"/>
      <c r="AA30" s="87"/>
      <c r="AB30" s="85"/>
      <c r="AC30" s="88"/>
      <c r="AD30" s="90"/>
      <c r="AE30" s="90"/>
      <c r="AF30" s="90"/>
      <c r="AG30" s="90"/>
      <c r="AH30" s="90"/>
      <c r="AI30" s="90"/>
      <c r="AJ30" s="90"/>
      <c r="AK30" s="90"/>
      <c r="AL30" s="88"/>
      <c r="AM30" s="90"/>
      <c r="AN30" s="90"/>
      <c r="AO30" s="90"/>
      <c r="AP30" s="90"/>
      <c r="AQ30" s="90"/>
      <c r="AR30" s="90"/>
      <c r="AS30" s="90"/>
      <c r="AT30" s="91"/>
    </row>
    <row r="31" spans="1:46" ht="14.65" thickTop="1" x14ac:dyDescent="0.45">
      <c r="R31" s="93"/>
    </row>
    <row r="32" spans="1:46" x14ac:dyDescent="0.45">
      <c r="R32" s="93"/>
    </row>
    <row r="33" spans="18:41" x14ac:dyDescent="0.45">
      <c r="R33" s="93"/>
    </row>
    <row r="38" spans="18:41" x14ac:dyDescent="0.45">
      <c r="AK38" s="93"/>
      <c r="AL38" s="93"/>
      <c r="AM38" s="93"/>
      <c r="AN38" s="93"/>
      <c r="AO38" s="93"/>
    </row>
    <row r="39" spans="18:41" x14ac:dyDescent="0.45">
      <c r="AK39" s="93"/>
      <c r="AL39" s="93"/>
      <c r="AM39" s="93"/>
      <c r="AN39" s="93"/>
      <c r="AO39" s="93"/>
    </row>
    <row r="40" spans="18:41" x14ac:dyDescent="0.45">
      <c r="AK40" s="93"/>
      <c r="AL40" s="93"/>
      <c r="AM40" s="93"/>
      <c r="AN40" s="93"/>
      <c r="AO40" s="93"/>
    </row>
    <row r="41" spans="18:41" x14ac:dyDescent="0.45">
      <c r="AK41" s="93"/>
      <c r="AL41" s="93"/>
      <c r="AM41" s="93"/>
      <c r="AN41" s="93"/>
      <c r="AO41" s="93"/>
    </row>
    <row r="42" spans="18:41" x14ac:dyDescent="0.45">
      <c r="AK42" s="93"/>
      <c r="AL42" s="93"/>
      <c r="AM42" s="93"/>
      <c r="AN42" s="93"/>
      <c r="AO42" s="93"/>
    </row>
  </sheetData>
  <mergeCells count="5">
    <mergeCell ref="K2:S2"/>
    <mergeCell ref="T2:AB2"/>
    <mergeCell ref="AC2:AK2"/>
    <mergeCell ref="AL2:AT2"/>
    <mergeCell ref="B2:J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4FCE2-1943-48D5-8E6C-D51178D8E8D6}">
  <dimension ref="A1:R26"/>
  <sheetViews>
    <sheetView tabSelected="1" workbookViewId="0">
      <selection activeCell="I27" sqref="I27"/>
    </sheetView>
  </sheetViews>
  <sheetFormatPr defaultRowHeight="14.25" x14ac:dyDescent="0.45"/>
  <cols>
    <col min="1" max="1" width="9" style="117"/>
    <col min="2" max="9" width="14.59765625" customWidth="1"/>
  </cols>
  <sheetData>
    <row r="1" spans="1:18" x14ac:dyDescent="0.45">
      <c r="A1" s="122" t="s">
        <v>76</v>
      </c>
      <c r="B1" s="123" t="s">
        <v>77</v>
      </c>
      <c r="C1" s="123" t="s">
        <v>80</v>
      </c>
      <c r="D1" s="123" t="s">
        <v>78</v>
      </c>
      <c r="E1" s="123" t="s">
        <v>84</v>
      </c>
      <c r="F1" s="123" t="s">
        <v>81</v>
      </c>
      <c r="G1" s="123" t="s">
        <v>82</v>
      </c>
      <c r="H1" s="123" t="s">
        <v>79</v>
      </c>
      <c r="I1" s="123" t="s">
        <v>83</v>
      </c>
      <c r="J1" s="119"/>
      <c r="K1" s="119"/>
      <c r="L1" s="119"/>
      <c r="M1" s="119"/>
      <c r="N1" s="119"/>
      <c r="O1" s="119"/>
      <c r="P1" s="119"/>
      <c r="Q1" s="119"/>
      <c r="R1" s="119"/>
    </row>
    <row r="2" spans="1:18" x14ac:dyDescent="0.45">
      <c r="A2" s="122">
        <f>DATA!A4</f>
        <v>1995</v>
      </c>
      <c r="B2" s="120">
        <f>Complete!C4</f>
        <v>595788.8125</v>
      </c>
      <c r="C2" s="120">
        <f>Complete!B4</f>
        <v>17106.520741686974</v>
      </c>
      <c r="D2" s="120">
        <f>Complete!D4</f>
        <v>19830.379174151389</v>
      </c>
      <c r="E2" s="120">
        <f>DATA!G4</f>
        <v>15</v>
      </c>
      <c r="F2" s="120">
        <f>Complete!H4</f>
        <v>-16759.697675325224</v>
      </c>
      <c r="G2" s="121">
        <v>1.61</v>
      </c>
      <c r="H2" s="120">
        <f>Complete!J4</f>
        <v>15979453701.6387</v>
      </c>
      <c r="I2" s="121">
        <v>-516.6</v>
      </c>
      <c r="J2" s="120"/>
      <c r="K2" s="120"/>
      <c r="L2" s="120"/>
      <c r="M2" s="120"/>
      <c r="N2" s="120"/>
      <c r="O2" s="120"/>
      <c r="P2" s="120"/>
      <c r="Q2" s="120"/>
      <c r="R2" s="120"/>
    </row>
    <row r="3" spans="1:18" x14ac:dyDescent="0.45">
      <c r="A3" s="122">
        <f>DATA!A5</f>
        <v>1996</v>
      </c>
      <c r="B3" s="120">
        <f>Complete!C5</f>
        <v>628716.125</v>
      </c>
      <c r="C3" s="120">
        <f>Complete!B5</f>
        <v>17837.753324639863</v>
      </c>
      <c r="D3" s="120">
        <f>Complete!D5</f>
        <v>19009.440764980103</v>
      </c>
      <c r="E3" s="120">
        <f>DATA!G5</f>
        <v>15</v>
      </c>
      <c r="F3" s="120">
        <f>Complete!H5</f>
        <v>-60270.47398364541</v>
      </c>
      <c r="G3" s="121">
        <v>0.05</v>
      </c>
      <c r="H3" s="120">
        <f>Complete!J5</f>
        <v>19719017351.062401</v>
      </c>
      <c r="I3" s="121">
        <v>-645.70000000000005</v>
      </c>
      <c r="J3" s="120"/>
      <c r="K3" s="120"/>
      <c r="L3" s="120"/>
      <c r="M3" s="120"/>
      <c r="N3" s="120"/>
      <c r="O3" s="120"/>
      <c r="P3" s="120"/>
      <c r="Q3" s="120"/>
      <c r="R3" s="120"/>
    </row>
    <row r="4" spans="1:18" x14ac:dyDescent="0.45">
      <c r="A4" s="122">
        <f>DATA!A6</f>
        <v>1997</v>
      </c>
      <c r="B4" s="120">
        <f>Complete!C6</f>
        <v>679711.625</v>
      </c>
      <c r="C4" s="120">
        <f>Complete!B6</f>
        <v>19062.272408927744</v>
      </c>
      <c r="D4" s="120">
        <f>Complete!D6</f>
        <v>19006.541241739633</v>
      </c>
      <c r="E4" s="120">
        <f>DATA!G6</f>
        <v>14</v>
      </c>
      <c r="F4" s="120">
        <f>Complete!H6</f>
        <v>-41632.771097924138</v>
      </c>
      <c r="G4" s="121">
        <v>0.33</v>
      </c>
      <c r="H4" s="120">
        <f>Complete!J6</f>
        <v>22424600096.7817</v>
      </c>
      <c r="I4" s="121">
        <v>-737.7</v>
      </c>
      <c r="J4" s="120"/>
      <c r="K4" s="120"/>
      <c r="L4" s="120"/>
      <c r="M4" s="120"/>
      <c r="N4" s="120"/>
      <c r="O4" s="120"/>
      <c r="P4" s="120"/>
      <c r="Q4" s="120"/>
      <c r="R4" s="120"/>
    </row>
    <row r="5" spans="1:18" x14ac:dyDescent="0.45">
      <c r="A5" s="122">
        <f>DATA!A7</f>
        <v>1998</v>
      </c>
      <c r="B5" s="120">
        <f>Complete!C7</f>
        <v>705881.75</v>
      </c>
      <c r="C5" s="120">
        <f>Complete!B7</f>
        <v>19573.323512866584</v>
      </c>
      <c r="D5" s="120">
        <f>Complete!D7</f>
        <v>19539.697652873027</v>
      </c>
      <c r="E5" s="120">
        <f>DATA!G7</f>
        <v>14</v>
      </c>
      <c r="F5" s="120">
        <f>Complete!H7</f>
        <v>-30844.039123881434</v>
      </c>
      <c r="G5" s="121">
        <v>0.85</v>
      </c>
      <c r="H5" s="120">
        <f>Complete!J7</f>
        <v>24855741222.254101</v>
      </c>
      <c r="I5" s="121">
        <v>-757.9</v>
      </c>
      <c r="J5" s="120"/>
      <c r="K5" s="120"/>
      <c r="L5" s="120"/>
      <c r="M5" s="120"/>
      <c r="N5" s="120"/>
      <c r="O5" s="120"/>
      <c r="P5" s="120"/>
      <c r="Q5" s="120"/>
      <c r="R5" s="120"/>
    </row>
    <row r="6" spans="1:18" x14ac:dyDescent="0.45">
      <c r="A6" s="122">
        <f>DATA!A8</f>
        <v>1999</v>
      </c>
      <c r="B6" s="120">
        <f>Complete!C8</f>
        <v>681984.4375</v>
      </c>
      <c r="C6" s="120">
        <f>Complete!B8</f>
        <v>18701.30146752626</v>
      </c>
      <c r="D6" s="120">
        <f>Complete!D8</f>
        <v>19835.144289362481</v>
      </c>
      <c r="E6" s="120">
        <f>DATA!G8</f>
        <v>16</v>
      </c>
      <c r="F6" s="120">
        <f>Complete!H8</f>
        <v>-26963.085019263104</v>
      </c>
      <c r="G6" s="121">
        <v>-1.8104550728480495</v>
      </c>
      <c r="H6" s="120">
        <f>Complete!J8</f>
        <v>26350163486.372299</v>
      </c>
      <c r="I6" s="121">
        <v>-780.9</v>
      </c>
      <c r="J6" s="120"/>
      <c r="K6" s="120"/>
      <c r="L6" s="120"/>
      <c r="M6" s="120"/>
      <c r="N6" s="120"/>
      <c r="O6" s="120"/>
      <c r="P6" s="120"/>
      <c r="Q6" s="120"/>
      <c r="R6" s="120"/>
    </row>
    <row r="7" spans="1:18" x14ac:dyDescent="0.45">
      <c r="A7" s="122">
        <f>DATA!A9</f>
        <v>2000</v>
      </c>
      <c r="B7" s="120">
        <f>Complete!C9</f>
        <v>676603.6875</v>
      </c>
      <c r="C7" s="120">
        <f>Complete!B9</f>
        <v>18350.671156002176</v>
      </c>
      <c r="D7" s="120">
        <f>Complete!D9</f>
        <v>19459.986834064715</v>
      </c>
      <c r="E7" s="120">
        <f>DATA!G9</f>
        <v>16</v>
      </c>
      <c r="F7" s="120">
        <f>Complete!H9</f>
        <v>-15244.853788802633</v>
      </c>
      <c r="G7" s="121">
        <v>-0.72960532040133863</v>
      </c>
      <c r="H7" s="120">
        <f>Complete!J9</f>
        <v>25152117244.413399</v>
      </c>
      <c r="I7" s="121">
        <v>-866.5</v>
      </c>
      <c r="J7" s="120"/>
      <c r="K7" s="120"/>
      <c r="L7" s="120"/>
      <c r="M7" s="120"/>
      <c r="N7" s="120"/>
      <c r="O7" s="120"/>
      <c r="P7" s="120"/>
      <c r="Q7" s="120"/>
      <c r="R7" s="120"/>
    </row>
    <row r="8" spans="1:18" x14ac:dyDescent="0.45">
      <c r="A8" s="122">
        <f>DATA!A10</f>
        <v>2001</v>
      </c>
      <c r="B8" s="120">
        <f>Complete!C10</f>
        <v>646773.3125</v>
      </c>
      <c r="C8" s="120">
        <f>Complete!B10</f>
        <v>17351.093214948996</v>
      </c>
      <c r="D8" s="120">
        <f>Complete!D10</f>
        <v>19145.558280302757</v>
      </c>
      <c r="E8" s="120">
        <f>DATA!G10</f>
        <v>16</v>
      </c>
      <c r="F8" s="120">
        <f>Complete!H10</f>
        <v>-12889.237800332456</v>
      </c>
      <c r="G8" s="121">
        <v>-1.5465389419455966</v>
      </c>
      <c r="H8" s="120">
        <f>Complete!J10</f>
        <v>14555552759.610201</v>
      </c>
      <c r="I8" s="121">
        <v>-1063.5999999999999</v>
      </c>
      <c r="J8" s="120"/>
      <c r="K8" s="120"/>
      <c r="L8" s="120"/>
      <c r="M8" s="120"/>
      <c r="N8" s="120"/>
      <c r="O8" s="120"/>
      <c r="P8" s="120"/>
      <c r="Q8" s="120"/>
      <c r="R8" s="120"/>
    </row>
    <row r="9" spans="1:18" x14ac:dyDescent="0.45">
      <c r="A9" s="122">
        <f>DATA!A11</f>
        <v>2002</v>
      </c>
      <c r="B9" s="120">
        <f>Complete!C11</f>
        <v>576310.625</v>
      </c>
      <c r="C9" s="120">
        <f>Complete!B11</f>
        <v>15294.158055136986</v>
      </c>
      <c r="D9" s="120">
        <f>Complete!D11</f>
        <v>13644.503114748626</v>
      </c>
      <c r="E9" s="120">
        <f>DATA!G11</f>
        <v>13</v>
      </c>
      <c r="F9" s="120">
        <f>Complete!H11</f>
        <v>-16634.487646294161</v>
      </c>
      <c r="G9" s="121">
        <v>40.946523907008434</v>
      </c>
      <c r="H9" s="120">
        <f>Complete!J11</f>
        <v>10492424818.737499</v>
      </c>
      <c r="I9" s="121">
        <v>-1054.7</v>
      </c>
      <c r="J9" s="120"/>
      <c r="K9" s="120"/>
      <c r="L9" s="120"/>
      <c r="M9" s="120"/>
      <c r="N9" s="120"/>
      <c r="O9" s="120"/>
      <c r="P9" s="120"/>
      <c r="Q9" s="120"/>
      <c r="R9" s="120"/>
    </row>
    <row r="10" spans="1:18" x14ac:dyDescent="0.45">
      <c r="A10" s="122">
        <f>DATA!A12</f>
        <v>2003</v>
      </c>
      <c r="B10" s="120">
        <f>Complete!C12</f>
        <v>627239.5</v>
      </c>
      <c r="C10" s="120">
        <f>Complete!B12</f>
        <v>16468.222899743298</v>
      </c>
      <c r="D10" s="120">
        <f>Complete!D12</f>
        <v>13826.707499988646</v>
      </c>
      <c r="E10" s="120">
        <f>DATA!G12</f>
        <v>14</v>
      </c>
      <c r="F10" s="120">
        <f>Complete!H12</f>
        <v>2163.8667627934774</v>
      </c>
      <c r="G10" s="121">
        <v>3.6610311889295533</v>
      </c>
      <c r="H10" s="120">
        <f>Complete!J12</f>
        <v>14157284136.3645</v>
      </c>
      <c r="I10" s="121">
        <v>-1030.4000000000001</v>
      </c>
      <c r="J10" s="120"/>
      <c r="K10" s="120"/>
      <c r="L10" s="120"/>
      <c r="M10" s="120"/>
      <c r="N10" s="120"/>
      <c r="O10" s="120"/>
      <c r="P10" s="120"/>
      <c r="Q10" s="120"/>
      <c r="R10" s="120"/>
    </row>
    <row r="11" spans="1:18" x14ac:dyDescent="0.45">
      <c r="A11" s="122">
        <f>DATA!A13</f>
        <v>2004</v>
      </c>
      <c r="B11" s="120">
        <f>Complete!C13</f>
        <v>683876.5</v>
      </c>
      <c r="C11" s="120">
        <f>Complete!B13</f>
        <v>17766.730683478625</v>
      </c>
      <c r="D11" s="120">
        <f>Complete!D13</f>
        <v>14811.075132691652</v>
      </c>
      <c r="E11" s="120">
        <f>DATA!G13</f>
        <v>13</v>
      </c>
      <c r="F11" s="120">
        <f>Complete!H13</f>
        <v>22385.260613747407</v>
      </c>
      <c r="G11" s="121">
        <v>6.0967695519775988</v>
      </c>
      <c r="H11" s="120">
        <f>Complete!J13</f>
        <v>19659591803.978802</v>
      </c>
      <c r="I11" s="121">
        <v>-793.1</v>
      </c>
      <c r="J11" s="120"/>
      <c r="K11" s="120"/>
      <c r="L11" s="120"/>
      <c r="M11" s="120"/>
      <c r="N11" s="120"/>
      <c r="O11" s="120"/>
      <c r="P11" s="120"/>
      <c r="Q11" s="120"/>
      <c r="R11" s="120"/>
    </row>
    <row r="12" spans="1:18" x14ac:dyDescent="0.45">
      <c r="A12" s="122">
        <f>DATA!A14</f>
        <v>2005</v>
      </c>
      <c r="B12" s="120">
        <f>Complete!C14</f>
        <v>744411</v>
      </c>
      <c r="C12" s="120">
        <f>Complete!B14</f>
        <v>19140.007730453643</v>
      </c>
      <c r="D12" s="120">
        <f>Complete!D14</f>
        <v>16020.628520860671</v>
      </c>
      <c r="E12" s="120">
        <f>DATA!G14</f>
        <v>15</v>
      </c>
      <c r="F12" s="120">
        <f>Complete!H14</f>
        <v>28942.618123741151</v>
      </c>
      <c r="G12" s="121">
        <v>12.328987027508775</v>
      </c>
      <c r="H12" s="120">
        <f>Complete!J14</f>
        <v>28081718501.557899</v>
      </c>
      <c r="I12" s="121">
        <v>-675.8</v>
      </c>
      <c r="J12" s="120"/>
      <c r="K12" s="120"/>
      <c r="L12" s="120"/>
      <c r="M12" s="120"/>
      <c r="N12" s="120"/>
      <c r="O12" s="120"/>
      <c r="P12" s="120"/>
      <c r="Q12" s="120"/>
      <c r="R12" s="120"/>
    </row>
    <row r="13" spans="1:18" x14ac:dyDescent="0.45">
      <c r="A13" s="122">
        <f>DATA!A15</f>
        <v>2006</v>
      </c>
      <c r="B13" s="120">
        <f>Complete!C15</f>
        <v>804314.8125</v>
      </c>
      <c r="C13" s="120">
        <f>Complete!B15</f>
        <v>20471.298294690554</v>
      </c>
      <c r="D13" s="120">
        <f>Complete!D15</f>
        <v>17545.915044372108</v>
      </c>
      <c r="E13" s="120">
        <f>DATA!G15</f>
        <v>15</v>
      </c>
      <c r="F13" s="120">
        <f>Complete!H15</f>
        <v>27680.05625345491</v>
      </c>
      <c r="G13" s="121">
        <v>9.8390284047229493</v>
      </c>
      <c r="H13" s="120">
        <f>Complete!J15</f>
        <v>32022297112.980598</v>
      </c>
      <c r="I13" s="121">
        <v>-553.9</v>
      </c>
      <c r="J13" s="120"/>
      <c r="K13" s="120"/>
      <c r="L13" s="120"/>
      <c r="M13" s="120"/>
      <c r="N13" s="120"/>
      <c r="O13" s="120"/>
      <c r="P13" s="120"/>
      <c r="Q13" s="120"/>
      <c r="R13" s="120"/>
    </row>
    <row r="14" spans="1:18" x14ac:dyDescent="0.45">
      <c r="A14" s="122">
        <f>DATA!A16</f>
        <v>2007</v>
      </c>
      <c r="B14" s="120">
        <f>Complete!C16</f>
        <v>876764.6875</v>
      </c>
      <c r="C14" s="120">
        <f>Complete!B16</f>
        <v>22093.492841437652</v>
      </c>
      <c r="D14" s="120">
        <f>Complete!D16</f>
        <v>18859.560677885689</v>
      </c>
      <c r="E14" s="120">
        <f>DATA!G16</f>
        <v>16</v>
      </c>
      <c r="F14" s="120">
        <f>Complete!H16</f>
        <v>27581.696511005284</v>
      </c>
      <c r="G14" s="121">
        <v>25.687642777327223</v>
      </c>
      <c r="H14" s="120">
        <f>Complete!J16</f>
        <v>46149456855.780197</v>
      </c>
      <c r="I14" s="121">
        <v>-270.89999999999998</v>
      </c>
      <c r="J14" s="120"/>
      <c r="K14" s="120"/>
      <c r="L14" s="120"/>
      <c r="M14" s="120"/>
      <c r="N14" s="120"/>
      <c r="O14" s="120"/>
      <c r="P14" s="120"/>
      <c r="Q14" s="120"/>
      <c r="R14" s="120"/>
    </row>
    <row r="15" spans="1:18" x14ac:dyDescent="0.45">
      <c r="A15" s="122">
        <f>DATA!A17</f>
        <v>2008</v>
      </c>
      <c r="B15" s="120">
        <f>Complete!C17</f>
        <v>912337.0625</v>
      </c>
      <c r="C15" s="120">
        <f>Complete!B17</f>
        <v>22762.809891477478</v>
      </c>
      <c r="D15" s="120">
        <f>Complete!D17</f>
        <v>21202.423213867489</v>
      </c>
      <c r="E15" s="120">
        <f>DATA!G17</f>
        <v>17</v>
      </c>
      <c r="F15" s="120">
        <f>Complete!H17</f>
        <v>22029.837250598677</v>
      </c>
      <c r="G15" s="121">
        <v>22.99313773917746</v>
      </c>
      <c r="H15" s="120">
        <f>Complete!J17</f>
        <v>46385380206.980103</v>
      </c>
      <c r="I15" s="121">
        <v>-200.2</v>
      </c>
      <c r="J15" s="120"/>
      <c r="K15" s="120"/>
      <c r="L15" s="120"/>
      <c r="M15" s="120"/>
      <c r="N15" s="120"/>
      <c r="O15" s="120"/>
      <c r="P15" s="120"/>
      <c r="Q15" s="120"/>
      <c r="R15" s="120"/>
    </row>
    <row r="16" spans="1:18" x14ac:dyDescent="0.45">
      <c r="A16" s="122">
        <f>DATA!A18</f>
        <v>2009</v>
      </c>
      <c r="B16" s="120">
        <f>Complete!C18</f>
        <v>858340.1875</v>
      </c>
      <c r="C16" s="120">
        <f>Complete!B18</f>
        <v>21202.595717962904</v>
      </c>
      <c r="D16" s="120">
        <f>Complete!D18</f>
        <v>21693.25578689816</v>
      </c>
      <c r="E16" s="120">
        <f>DATA!G18</f>
        <v>20</v>
      </c>
      <c r="F16" s="120">
        <f>Complete!H18</f>
        <v>-10450.922250811389</v>
      </c>
      <c r="G16" s="121">
        <v>14.813974806761765</v>
      </c>
      <c r="H16" s="120">
        <f>Complete!J18</f>
        <v>48006988635.325302</v>
      </c>
      <c r="I16" s="121">
        <v>-225.6</v>
      </c>
      <c r="J16" s="120"/>
      <c r="K16" s="120"/>
      <c r="L16" s="120"/>
      <c r="M16" s="120"/>
      <c r="N16" s="120"/>
      <c r="O16" s="120"/>
      <c r="P16" s="120"/>
      <c r="Q16" s="120"/>
      <c r="R16" s="120"/>
    </row>
    <row r="17" spans="1:18" x14ac:dyDescent="0.45">
      <c r="A17" s="122">
        <f>DATA!A19</f>
        <v>2010</v>
      </c>
      <c r="B17" s="120">
        <f>Complete!C19</f>
        <v>945250.5625</v>
      </c>
      <c r="C17" s="120">
        <f>Complete!B19</f>
        <v>23113.661352895528</v>
      </c>
      <c r="D17" s="120">
        <f>Complete!D19</f>
        <v>23044.233885250469</v>
      </c>
      <c r="E17" s="120">
        <f>DATA!G19</f>
        <v>20</v>
      </c>
      <c r="F17" s="120">
        <f>Complete!H19</f>
        <v>-24622.26276594543</v>
      </c>
      <c r="G17" s="121">
        <v>25.315946409572998</v>
      </c>
      <c r="H17" s="120">
        <f>Complete!J19</f>
        <v>52207549724.092796</v>
      </c>
      <c r="I17" s="121">
        <v>-75.8</v>
      </c>
      <c r="J17" s="120"/>
      <c r="K17" s="120"/>
      <c r="L17" s="120"/>
      <c r="M17" s="120"/>
      <c r="N17" s="120"/>
      <c r="O17" s="120"/>
      <c r="P17" s="120"/>
      <c r="Q17" s="120"/>
      <c r="R17" s="120"/>
    </row>
    <row r="18" spans="1:18" x14ac:dyDescent="0.45">
      <c r="A18" s="122">
        <f>DATA!A20</f>
        <v>2011</v>
      </c>
      <c r="B18" s="120">
        <f>Complete!C20</f>
        <v>1002002.9375</v>
      </c>
      <c r="C18" s="120">
        <f>Complete!B20</f>
        <v>24249.53564211469</v>
      </c>
      <c r="D18" s="120">
        <f>Complete!D20</f>
        <v>25642.085640325255</v>
      </c>
      <c r="E18" s="120">
        <f>DATA!G20</f>
        <v>21</v>
      </c>
      <c r="F18" s="120">
        <f>Complete!H20</f>
        <v>-59838.195457650349</v>
      </c>
      <c r="G18" s="121">
        <v>22.777305507493438</v>
      </c>
      <c r="H18" s="120">
        <f>Complete!J20</f>
        <v>46265800525.880699</v>
      </c>
      <c r="I18" s="121">
        <v>235.7</v>
      </c>
      <c r="J18" s="120"/>
      <c r="K18" s="120"/>
      <c r="L18" s="120"/>
      <c r="M18" s="120"/>
      <c r="N18" s="120"/>
      <c r="O18" s="120"/>
      <c r="P18" s="120"/>
      <c r="Q18" s="120"/>
      <c r="R18" s="120"/>
    </row>
    <row r="19" spans="1:18" x14ac:dyDescent="0.45">
      <c r="A19" s="122">
        <f>DATA!A21</f>
        <v>2012</v>
      </c>
      <c r="B19" s="120">
        <f>Complete!C21</f>
        <v>991718.125</v>
      </c>
      <c r="C19" s="120">
        <f>Complete!B21</f>
        <v>23750.771640492359</v>
      </c>
      <c r="D19" s="120">
        <f>Complete!D21</f>
        <v>27452.676796893738</v>
      </c>
      <c r="E19" s="120">
        <f>DATA!G21</f>
        <v>21</v>
      </c>
      <c r="F19" s="120">
        <f>Complete!H21</f>
        <v>-62439.269633710297</v>
      </c>
      <c r="G19" s="121">
        <v>25.27631762139977</v>
      </c>
      <c r="H19" s="120">
        <f>Complete!J21</f>
        <v>43223270863.843002</v>
      </c>
      <c r="I19" s="121">
        <v>271.7</v>
      </c>
      <c r="J19" s="120"/>
      <c r="K19" s="120"/>
      <c r="L19" s="120"/>
      <c r="M19" s="120"/>
      <c r="N19" s="120"/>
      <c r="O19" s="120"/>
      <c r="P19" s="120"/>
      <c r="Q19" s="120"/>
      <c r="R19" s="120"/>
    </row>
    <row r="20" spans="1:18" x14ac:dyDescent="0.45">
      <c r="A20" s="122">
        <f>DATA!A22</f>
        <v>2013</v>
      </c>
      <c r="B20" s="120">
        <f>Complete!C22</f>
        <v>1015572.1875</v>
      </c>
      <c r="C20" s="120">
        <f>Complete!B22</f>
        <v>24067.955859828518</v>
      </c>
      <c r="D20" s="120">
        <f>Complete!D22</f>
        <v>28883.892633828014</v>
      </c>
      <c r="E20" s="120">
        <f>DATA!G22</f>
        <v>22</v>
      </c>
      <c r="F20" s="120">
        <f>Complete!H22</f>
        <v>-83945.624705398455</v>
      </c>
      <c r="G20" s="121">
        <v>28.399170642648652</v>
      </c>
      <c r="H20" s="120">
        <f>Complete!J22</f>
        <v>30533919650.6264</v>
      </c>
      <c r="I20" s="121">
        <v>481.1</v>
      </c>
      <c r="J20" s="120"/>
      <c r="K20" s="120"/>
      <c r="L20" s="120"/>
      <c r="M20" s="120"/>
      <c r="N20" s="120"/>
      <c r="O20" s="120"/>
      <c r="P20" s="120"/>
      <c r="Q20" s="120"/>
      <c r="R20" s="120"/>
    </row>
    <row r="21" spans="1:18" x14ac:dyDescent="0.45">
      <c r="A21" s="122">
        <f>DATA!A23</f>
        <v>2014</v>
      </c>
      <c r="B21" s="120">
        <f>Complete!C23</f>
        <v>990054.75</v>
      </c>
      <c r="C21" s="120">
        <f>Complete!B23</f>
        <v>23220.275451819878</v>
      </c>
      <c r="D21" s="120">
        <f>Complete!D23</f>
        <v>27782.430182901</v>
      </c>
      <c r="E21" s="120">
        <f>DATA!G23</f>
        <v>25</v>
      </c>
      <c r="F21" s="120">
        <f>Complete!H23</f>
        <v>-95711.552793017152</v>
      </c>
      <c r="G21" s="121">
        <v>38.325233713881282</v>
      </c>
      <c r="H21" s="120">
        <f>Complete!J23</f>
        <v>31410813269.523899</v>
      </c>
      <c r="I21" s="121">
        <v>484.4</v>
      </c>
      <c r="J21" s="120"/>
      <c r="K21" s="120"/>
      <c r="L21" s="120"/>
      <c r="M21" s="120"/>
      <c r="N21" s="120"/>
      <c r="O21" s="120"/>
      <c r="P21" s="120"/>
      <c r="Q21" s="120"/>
      <c r="R21" s="120"/>
    </row>
    <row r="22" spans="1:18" x14ac:dyDescent="0.45">
      <c r="A22" s="122">
        <f>DATA!A24</f>
        <v>2015</v>
      </c>
      <c r="B22" s="120">
        <f>Complete!C24</f>
        <v>1017094.75</v>
      </c>
      <c r="C22" s="120">
        <f>Complete!B24</f>
        <v>23611.954206083585</v>
      </c>
      <c r="D22" s="120">
        <f>Complete!D24</f>
        <v>27863.56640457709</v>
      </c>
      <c r="E22" s="120">
        <f>DATA!G24</f>
        <v>24</v>
      </c>
      <c r="F22" s="120">
        <f>Complete!H24</f>
        <v>-119268.47090743322</v>
      </c>
      <c r="G22" s="121">
        <v>27.760458223047181</v>
      </c>
      <c r="H22" s="120">
        <f>Complete!J24</f>
        <v>25520565580.489399</v>
      </c>
      <c r="I22" s="121">
        <v>473.5</v>
      </c>
      <c r="J22" s="120"/>
      <c r="K22" s="120"/>
      <c r="L22" s="120"/>
      <c r="M22" s="120"/>
      <c r="N22" s="120"/>
      <c r="O22" s="120"/>
      <c r="P22" s="120"/>
      <c r="Q22" s="120"/>
      <c r="R22" s="120"/>
    </row>
    <row r="23" spans="1:18" x14ac:dyDescent="0.45">
      <c r="A23" s="122">
        <f>DATA!A25</f>
        <v>2016</v>
      </c>
      <c r="B23" s="120">
        <f>Complete!C25</f>
        <v>995935.8125</v>
      </c>
      <c r="C23" s="120">
        <f>Complete!B25</f>
        <v>22890.624317661441</v>
      </c>
      <c r="D23" s="120">
        <f>Complete!D25</f>
        <v>27465.510561327705</v>
      </c>
      <c r="E23" s="120">
        <f>DATA!G25</f>
        <v>26</v>
      </c>
      <c r="F23" s="120">
        <f>Complete!H25</f>
        <v>-116996.34943528948</v>
      </c>
      <c r="G23" s="121">
        <v>40.711857651417475</v>
      </c>
      <c r="H23" s="120">
        <f>Complete!J25</f>
        <v>38414518491.613197</v>
      </c>
      <c r="I23" s="121">
        <v>417</v>
      </c>
      <c r="J23" s="120"/>
      <c r="K23" s="120"/>
      <c r="L23" s="120"/>
      <c r="M23" s="120"/>
      <c r="N23" s="120"/>
      <c r="O23" s="120"/>
      <c r="P23" s="120"/>
      <c r="Q23" s="120"/>
      <c r="R23" s="120"/>
    </row>
    <row r="24" spans="1:18" x14ac:dyDescent="0.45">
      <c r="A24" s="122">
        <f>DATA!A26</f>
        <v>2017</v>
      </c>
      <c r="B24" s="120">
        <f>Complete!C26</f>
        <v>1022513.25</v>
      </c>
      <c r="C24" s="120">
        <f>Complete!B26</f>
        <v>23272.184989737612</v>
      </c>
      <c r="D24" s="120">
        <f>Complete!D26</f>
        <v>27761.42679079733</v>
      </c>
      <c r="E24" s="120">
        <f>DATA!G26</f>
        <v>24</v>
      </c>
      <c r="F24" s="120">
        <f>Complete!H26</f>
        <v>-67268.36129976681</v>
      </c>
      <c r="G24" s="121">
        <v>24.587307544834935</v>
      </c>
      <c r="H24" s="120">
        <f>Complete!J26</f>
        <v>55314409205.218903</v>
      </c>
      <c r="I24" s="121">
        <v>459.7</v>
      </c>
      <c r="J24" s="120"/>
      <c r="K24" s="120"/>
      <c r="L24" s="120"/>
      <c r="M24" s="120"/>
      <c r="N24" s="120"/>
      <c r="O24" s="120"/>
      <c r="P24" s="120"/>
      <c r="Q24" s="120"/>
      <c r="R24" s="120"/>
    </row>
    <row r="25" spans="1:18" x14ac:dyDescent="0.45">
      <c r="A25" s="122">
        <f>DATA!A27</f>
        <v>2018</v>
      </c>
      <c r="B25" s="120">
        <f>Complete!C27</f>
        <v>997136.625</v>
      </c>
      <c r="C25" s="120">
        <f>Complete!B27</f>
        <v>22477.700082166491</v>
      </c>
      <c r="D25" s="120">
        <f>Complete!D27</f>
        <v>26936.096778248695</v>
      </c>
      <c r="E25" s="120">
        <f>DATA!G27</f>
        <v>23</v>
      </c>
      <c r="F25" s="120">
        <f>Complete!H27</f>
        <v>-71792.314182709815</v>
      </c>
      <c r="G25" s="121">
        <v>47.635160315840189</v>
      </c>
      <c r="H25" s="120">
        <f>Complete!J27</f>
        <v>66221501691.441803</v>
      </c>
      <c r="I25" s="121">
        <v>291</v>
      </c>
      <c r="J25" s="120"/>
      <c r="K25" s="120"/>
      <c r="L25" s="120"/>
      <c r="M25" s="120"/>
      <c r="N25" s="120"/>
      <c r="O25" s="120"/>
      <c r="P25" s="120"/>
      <c r="Q25" s="120"/>
      <c r="R25" s="120"/>
    </row>
    <row r="26" spans="1:18" x14ac:dyDescent="0.45">
      <c r="A26" s="122">
        <f>DATA!A28</f>
        <v>2019</v>
      </c>
      <c r="B26" s="120">
        <f>Complete!C28</f>
        <v>975569</v>
      </c>
      <c r="C26" s="120">
        <f>Complete!B28</f>
        <v>21785.490201499189</v>
      </c>
      <c r="D26" s="120">
        <f>Complete!D28</f>
        <v>25704.775107941521</v>
      </c>
      <c r="E26" s="120">
        <f>DATA!G28</f>
        <v>22</v>
      </c>
      <c r="F26" s="120">
        <f>Complete!H28</f>
        <v>-76507.28630681432</v>
      </c>
      <c r="G26" s="121">
        <v>53.975860249035954</v>
      </c>
      <c r="H26" s="120">
        <f>Complete!J28</f>
        <v>44880566052.3703</v>
      </c>
      <c r="I26" s="121">
        <v>87.9</v>
      </c>
      <c r="J26" s="120"/>
      <c r="K26" s="120"/>
      <c r="L26" s="120"/>
      <c r="M26" s="120"/>
      <c r="N26" s="120"/>
      <c r="O26" s="120"/>
      <c r="P26" s="120"/>
      <c r="Q26" s="120"/>
      <c r="R26" s="120"/>
    </row>
  </sheetData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9A660-B056-4BAD-AE6A-63A65CB88FA3}">
  <dimension ref="A1:R21"/>
  <sheetViews>
    <sheetView workbookViewId="0">
      <selection activeCell="I2" sqref="I2"/>
    </sheetView>
  </sheetViews>
  <sheetFormatPr defaultRowHeight="14.25" x14ac:dyDescent="0.45"/>
  <cols>
    <col min="1" max="1" width="9.06640625" style="124"/>
    <col min="2" max="9" width="14.59765625" customWidth="1"/>
  </cols>
  <sheetData>
    <row r="1" spans="1:18" x14ac:dyDescent="0.45">
      <c r="A1" s="122" t="s">
        <v>76</v>
      </c>
      <c r="B1" s="123" t="s">
        <v>77</v>
      </c>
      <c r="C1" s="123" t="s">
        <v>80</v>
      </c>
      <c r="D1" s="123" t="s">
        <v>78</v>
      </c>
      <c r="E1" s="123" t="s">
        <v>84</v>
      </c>
      <c r="F1" s="123" t="s">
        <v>81</v>
      </c>
      <c r="G1" s="123" t="s">
        <v>82</v>
      </c>
      <c r="H1" s="123" t="s">
        <v>79</v>
      </c>
      <c r="I1" s="123" t="s">
        <v>83</v>
      </c>
      <c r="J1" s="119"/>
      <c r="K1" s="119"/>
      <c r="L1" s="119"/>
      <c r="M1" s="119"/>
      <c r="N1" s="119"/>
      <c r="O1" s="119"/>
      <c r="P1" s="119"/>
      <c r="Q1" s="119"/>
      <c r="R1" s="119"/>
    </row>
    <row r="2" spans="1:18" x14ac:dyDescent="0.45">
      <c r="A2" s="122">
        <f>DATA!A11</f>
        <v>2002</v>
      </c>
      <c r="B2" s="120">
        <f>Complete!U11</f>
        <v>110287.8515625</v>
      </c>
      <c r="C2" s="120">
        <f>Complete!T11</f>
        <v>8391.078879313789</v>
      </c>
      <c r="D2" s="120">
        <f>Complete!V11</f>
        <v>10485.908468303285</v>
      </c>
      <c r="E2" s="120">
        <f>DATA!W11</f>
        <v>15</v>
      </c>
      <c r="F2" s="120">
        <f>Complete!Z11</f>
        <v>342.73567836857364</v>
      </c>
      <c r="G2" s="121">
        <f>Complete!AA11</f>
        <v>12.4840185721018</v>
      </c>
      <c r="H2" s="120">
        <f>Complete!AB11</f>
        <v>1004402765.69838</v>
      </c>
      <c r="I2" s="121"/>
      <c r="J2" s="120"/>
      <c r="K2" s="120"/>
      <c r="L2" s="120"/>
      <c r="M2" s="120"/>
      <c r="N2" s="120"/>
      <c r="O2" s="120"/>
      <c r="P2" s="120"/>
      <c r="Q2" s="120"/>
      <c r="R2" s="120"/>
    </row>
    <row r="3" spans="1:18" x14ac:dyDescent="0.45">
      <c r="A3" s="122">
        <f>DATA!A12</f>
        <v>2003</v>
      </c>
      <c r="B3" s="120">
        <f>Complete!U12</f>
        <v>113290.859375</v>
      </c>
      <c r="C3" s="120">
        <f>Complete!T12</f>
        <v>8473.7163733487087</v>
      </c>
      <c r="D3" s="120">
        <f>Complete!V12</f>
        <v>10942.609654980417</v>
      </c>
      <c r="E3" s="120">
        <f>DATA!W12</f>
        <v>15</v>
      </c>
      <c r="F3" s="120">
        <f>Complete!Z12</f>
        <v>484.69291697727022</v>
      </c>
      <c r="G3" s="121">
        <f>Complete!AA12</f>
        <v>7.9294100052341303</v>
      </c>
      <c r="H3" s="120">
        <f>Complete!AB12</f>
        <v>1165340428.48352</v>
      </c>
      <c r="I3" s="121"/>
      <c r="J3" s="120"/>
      <c r="K3" s="120"/>
      <c r="L3" s="120"/>
      <c r="M3" s="120"/>
      <c r="N3" s="120"/>
      <c r="O3" s="120"/>
      <c r="P3" s="120"/>
      <c r="Q3" s="120"/>
      <c r="R3" s="120"/>
    </row>
    <row r="4" spans="1:18" x14ac:dyDescent="0.45">
      <c r="A4" s="122">
        <f>DATA!A13</f>
        <v>2004</v>
      </c>
      <c r="B4" s="120">
        <f>Complete!U13</f>
        <v>122593.1953125</v>
      </c>
      <c r="C4" s="120">
        <f>Complete!T13</f>
        <v>9016.600240630085</v>
      </c>
      <c r="D4" s="120">
        <f>Complete!V13</f>
        <v>11354.863149384197</v>
      </c>
      <c r="E4" s="120">
        <f>DATA!W13</f>
        <v>15</v>
      </c>
      <c r="F4" s="120">
        <f>Complete!Z13</f>
        <v>2060.7488448994682</v>
      </c>
      <c r="G4" s="121">
        <f>Complete!AA13</f>
        <v>2.7421813294164399</v>
      </c>
      <c r="H4" s="120">
        <f>Complete!AB13</f>
        <v>1439913954.6356599</v>
      </c>
      <c r="I4" s="121"/>
      <c r="J4" s="120"/>
      <c r="K4" s="120"/>
      <c r="L4" s="120"/>
      <c r="M4" s="120"/>
      <c r="N4" s="120"/>
      <c r="O4" s="120"/>
      <c r="P4" s="120"/>
      <c r="Q4" s="120"/>
      <c r="R4" s="120"/>
    </row>
    <row r="5" spans="1:18" x14ac:dyDescent="0.45">
      <c r="A5" s="122">
        <f>DATA!A14</f>
        <v>2005</v>
      </c>
      <c r="B5" s="120">
        <f>Complete!U14</f>
        <v>129079.984375</v>
      </c>
      <c r="C5" s="120">
        <f>Complete!T14</f>
        <v>9336.1357445225603</v>
      </c>
      <c r="D5" s="120">
        <f>Complete!V14</f>
        <v>12042.493122238693</v>
      </c>
      <c r="E5" s="120">
        <f>DATA!W14</f>
        <v>14</v>
      </c>
      <c r="F5" s="120">
        <f>Complete!Z14</f>
        <v>4285.0719993017919</v>
      </c>
      <c r="G5" s="121">
        <f>Complete!AA14</f>
        <v>2.4077697831568998</v>
      </c>
      <c r="H5" s="120">
        <f>Complete!AB14</f>
        <v>2147944603.1967402</v>
      </c>
      <c r="I5" s="121"/>
      <c r="J5" s="120"/>
      <c r="K5" s="120"/>
      <c r="L5" s="120"/>
      <c r="M5" s="120"/>
      <c r="N5" s="120"/>
      <c r="O5" s="120"/>
      <c r="P5" s="120"/>
      <c r="Q5" s="120"/>
      <c r="R5" s="120"/>
    </row>
    <row r="6" spans="1:18" x14ac:dyDescent="0.45">
      <c r="A6" s="122">
        <f>DATA!A15</f>
        <v>2006</v>
      </c>
      <c r="B6" s="120">
        <f>Complete!U15</f>
        <v>134764</v>
      </c>
      <c r="C6" s="120">
        <f>Complete!T15</f>
        <v>9585.3417190966557</v>
      </c>
      <c r="D6" s="120">
        <f>Complete!V15</f>
        <v>12602.422101301347</v>
      </c>
      <c r="E6" s="120">
        <f>DATA!W15</f>
        <v>14</v>
      </c>
      <c r="F6" s="120">
        <f>Complete!Z15</f>
        <v>5920.7714923863387</v>
      </c>
      <c r="G6" s="121">
        <f>Complete!AA15</f>
        <v>3.2987484625821799</v>
      </c>
      <c r="H6" s="120">
        <f>Complete!AB15</f>
        <v>2026480313.6912899</v>
      </c>
      <c r="I6" s="121"/>
      <c r="J6" s="120"/>
      <c r="K6" s="120"/>
      <c r="L6" s="120"/>
      <c r="M6" s="120"/>
      <c r="N6" s="120"/>
      <c r="O6" s="120"/>
      <c r="P6" s="120"/>
      <c r="Q6" s="120"/>
      <c r="R6" s="120"/>
    </row>
    <row r="7" spans="1:18" x14ac:dyDescent="0.45">
      <c r="A7" s="122">
        <f>DATA!A16</f>
        <v>2007</v>
      </c>
      <c r="B7" s="120">
        <f>Complete!U16</f>
        <v>137715.46875</v>
      </c>
      <c r="C7" s="120">
        <f>Complete!T16</f>
        <v>9632.7716351566323</v>
      </c>
      <c r="D7" s="120">
        <f>Complete!V16</f>
        <v>12831.09431194259</v>
      </c>
      <c r="E7" s="120">
        <f>DATA!W16</f>
        <v>16</v>
      </c>
      <c r="F7" s="120">
        <f>Complete!Z16</f>
        <v>6550.7918129372119</v>
      </c>
      <c r="G7" s="121">
        <f>Complete!AA16</f>
        <v>2.2761847800211998</v>
      </c>
      <c r="H7" s="120">
        <f>Complete!AB16</f>
        <v>3520672992.4577899</v>
      </c>
      <c r="I7" s="121"/>
      <c r="J7" s="120"/>
      <c r="K7" s="120"/>
      <c r="L7" s="120"/>
      <c r="M7" s="120"/>
      <c r="N7" s="120"/>
      <c r="O7" s="120"/>
      <c r="P7" s="120"/>
      <c r="Q7" s="120"/>
      <c r="R7" s="120"/>
    </row>
    <row r="8" spans="1:18" x14ac:dyDescent="0.45">
      <c r="A8" s="122">
        <f>DATA!A17</f>
        <v>2008</v>
      </c>
      <c r="B8" s="120">
        <f>Complete!U17</f>
        <v>146470.21875</v>
      </c>
      <c r="C8" s="120">
        <f>Complete!T17</f>
        <v>10076.558113075642</v>
      </c>
      <c r="D8" s="120">
        <f>Complete!V17</f>
        <v>13825.822925252809</v>
      </c>
      <c r="E8" s="120">
        <f>DATA!W17</f>
        <v>21</v>
      </c>
      <c r="F8" s="120">
        <f>Complete!Z17</f>
        <v>6311.6880673816304</v>
      </c>
      <c r="G8" s="121">
        <f>Complete!AA17</f>
        <v>8.4000959398746193</v>
      </c>
      <c r="H8" s="120">
        <f>Complete!AB17</f>
        <v>4472854631.2803097</v>
      </c>
      <c r="I8" s="121"/>
      <c r="J8" s="120"/>
      <c r="K8" s="120"/>
      <c r="L8" s="120"/>
      <c r="M8" s="120"/>
      <c r="N8" s="120"/>
      <c r="O8" s="120"/>
      <c r="P8" s="120"/>
      <c r="Q8" s="120"/>
      <c r="R8" s="120"/>
    </row>
    <row r="9" spans="1:18" x14ac:dyDescent="0.45">
      <c r="A9" s="122">
        <f>DATA!A18</f>
        <v>2009</v>
      </c>
      <c r="B9" s="120">
        <f>Complete!U18</f>
        <v>147299.96875</v>
      </c>
      <c r="C9" s="120">
        <f>Complete!T18</f>
        <v>9969.9297075811555</v>
      </c>
      <c r="D9" s="120">
        <f>Complete!V18</f>
        <v>14070.382667470027</v>
      </c>
      <c r="E9" s="120">
        <f>DATA!W18</f>
        <v>23</v>
      </c>
      <c r="F9" s="120">
        <f>Complete!Z18</f>
        <v>5069.8475311387083</v>
      </c>
      <c r="G9" s="121">
        <f>Complete!AA18</f>
        <v>5.1599682918104604</v>
      </c>
      <c r="H9" s="120">
        <f>Complete!AB18</f>
        <v>3792122231.6349001</v>
      </c>
      <c r="I9" s="121"/>
      <c r="J9" s="120"/>
      <c r="K9" s="120"/>
      <c r="L9" s="120"/>
      <c r="M9" s="120"/>
      <c r="N9" s="120"/>
      <c r="O9" s="120"/>
      <c r="P9" s="120"/>
      <c r="Q9" s="120"/>
      <c r="R9" s="120"/>
    </row>
    <row r="10" spans="1:18" x14ac:dyDescent="0.45">
      <c r="A10" s="122">
        <f>DATA!A19</f>
        <v>2010</v>
      </c>
      <c r="B10" s="120">
        <f>Complete!U19</f>
        <v>152492.71875</v>
      </c>
      <c r="C10" s="120">
        <f>Complete!T19</f>
        <v>10158.65233413343</v>
      </c>
      <c r="D10" s="120">
        <f>Complete!V19</f>
        <v>14556.455738105498</v>
      </c>
      <c r="E10" s="120">
        <f>DATA!W19</f>
        <v>23</v>
      </c>
      <c r="F10" s="120">
        <f>Complete!Z19</f>
        <v>5953.2713421670305</v>
      </c>
      <c r="G10" s="121">
        <f>Complete!AA19</f>
        <v>3.5543773456784602</v>
      </c>
      <c r="H10" s="120">
        <f>Complete!AB19</f>
        <v>2622493356.3825202</v>
      </c>
      <c r="I10" s="121"/>
      <c r="J10" s="120"/>
      <c r="K10" s="120"/>
      <c r="L10" s="120"/>
      <c r="M10" s="120"/>
      <c r="N10" s="120"/>
      <c r="O10" s="120"/>
      <c r="P10" s="120"/>
      <c r="Q10" s="120"/>
      <c r="R10" s="120"/>
    </row>
    <row r="11" spans="1:18" x14ac:dyDescent="0.45">
      <c r="A11" s="122">
        <f>DATA!A20</f>
        <v>2011</v>
      </c>
      <c r="B11" s="120">
        <f>Complete!U20</f>
        <v>164491.0625</v>
      </c>
      <c r="C11" s="120">
        <f>Complete!T20</f>
        <v>10790.626752342119</v>
      </c>
      <c r="D11" s="120">
        <f>Complete!V20</f>
        <v>15682.954815878367</v>
      </c>
      <c r="E11" s="120">
        <f>DATA!W20</f>
        <v>23</v>
      </c>
      <c r="F11" s="120">
        <f>Complete!Z20</f>
        <v>8480.3514055977612</v>
      </c>
      <c r="G11" s="121">
        <f>Complete!AA20</f>
        <v>4.4745326579583597</v>
      </c>
      <c r="H11" s="120">
        <f>Complete!AB20</f>
        <v>2957999383.6445098</v>
      </c>
      <c r="I11" s="121"/>
      <c r="J11" s="120"/>
      <c r="K11" s="120"/>
      <c r="L11" s="120"/>
      <c r="M11" s="120"/>
      <c r="N11" s="120"/>
      <c r="O11" s="120"/>
      <c r="P11" s="120"/>
      <c r="Q11" s="120"/>
      <c r="R11" s="120"/>
    </row>
    <row r="12" spans="1:18" x14ac:dyDescent="0.45">
      <c r="A12" s="122">
        <f>DATA!A21</f>
        <v>2012</v>
      </c>
      <c r="B12" s="120">
        <f>Complete!U21</f>
        <v>173771.59375</v>
      </c>
      <c r="C12" s="120">
        <f>Complete!T21</f>
        <v>11229.834531259685</v>
      </c>
      <c r="D12" s="120">
        <f>Complete!V21</f>
        <v>16524.836238369036</v>
      </c>
      <c r="E12" s="120">
        <f>DATA!W21</f>
        <v>24</v>
      </c>
      <c r="F12" s="120">
        <f>Complete!Z21</f>
        <v>13902.713107941032</v>
      </c>
      <c r="G12" s="121">
        <f>Complete!AA21</f>
        <v>5.1017218095867003</v>
      </c>
      <c r="H12" s="120">
        <f>Complete!AB21</f>
        <v>2486036143.6835699</v>
      </c>
      <c r="I12" s="121"/>
      <c r="J12" s="120"/>
      <c r="K12" s="120"/>
      <c r="L12" s="120"/>
      <c r="M12" s="120"/>
      <c r="N12" s="120"/>
      <c r="O12" s="120"/>
      <c r="P12" s="120"/>
      <c r="Q12" s="120"/>
      <c r="R12" s="120"/>
    </row>
    <row r="13" spans="1:18" x14ac:dyDescent="0.45">
      <c r="A13" s="122">
        <f>DATA!A22</f>
        <v>2013</v>
      </c>
      <c r="B13" s="120">
        <f>Complete!U22</f>
        <v>182367.21875</v>
      </c>
      <c r="C13" s="120">
        <f>Complete!T22</f>
        <v>11610.219361177997</v>
      </c>
      <c r="D13" s="120">
        <f>Complete!V22</f>
        <v>16533.926414618789</v>
      </c>
      <c r="E13" s="120">
        <f>DATA!W22</f>
        <v>27</v>
      </c>
      <c r="F13" s="120">
        <f>Complete!Z22</f>
        <v>12960.179408601267</v>
      </c>
      <c r="G13" s="121">
        <f>Complete!AA22</f>
        <v>2.7217757771036499</v>
      </c>
      <c r="H13" s="120">
        <f>Complete!AB22</f>
        <v>4345840333.4675703</v>
      </c>
      <c r="I13" s="121"/>
      <c r="J13" s="120"/>
      <c r="K13" s="120"/>
      <c r="L13" s="120"/>
      <c r="M13" s="120"/>
      <c r="N13" s="120"/>
      <c r="O13" s="120"/>
      <c r="P13" s="120"/>
      <c r="Q13" s="120"/>
      <c r="R13" s="120"/>
    </row>
    <row r="14" spans="1:18" x14ac:dyDescent="0.45">
      <c r="A14" s="122">
        <f>DATA!A23</f>
        <v>2014</v>
      </c>
      <c r="B14" s="120">
        <f>Complete!U23</f>
        <v>189276.875</v>
      </c>
      <c r="C14" s="120">
        <f>Complete!T23</f>
        <v>11865.519902406244</v>
      </c>
      <c r="D14" s="120">
        <f>Complete!V23</f>
        <v>16822.864769726868</v>
      </c>
      <c r="E14" s="120">
        <f>DATA!W23</f>
        <v>26</v>
      </c>
      <c r="F14" s="120">
        <f>Complete!Z23</f>
        <v>11486.289779796971</v>
      </c>
      <c r="G14" s="121">
        <f>Complete!AA23</f>
        <v>3.5892201661666898</v>
      </c>
      <c r="H14" s="120">
        <f>Complete!AB23</f>
        <v>3941357097.57337</v>
      </c>
      <c r="I14" s="121"/>
      <c r="J14" s="120"/>
      <c r="K14" s="120"/>
      <c r="L14" s="120"/>
      <c r="M14" s="120"/>
      <c r="N14" s="120"/>
      <c r="O14" s="120"/>
      <c r="P14" s="120"/>
      <c r="Q14" s="120"/>
      <c r="R14" s="120"/>
    </row>
    <row r="15" spans="1:18" x14ac:dyDescent="0.45">
      <c r="A15" s="122">
        <f>DATA!A24</f>
        <v>2015</v>
      </c>
      <c r="B15" s="120">
        <f>Complete!U24</f>
        <v>189464.015625</v>
      </c>
      <c r="C15" s="120">
        <f>Complete!T24</f>
        <v>11686.638409340725</v>
      </c>
      <c r="D15" s="120">
        <f>Complete!V24</f>
        <v>16485.431012632962</v>
      </c>
      <c r="E15" s="120">
        <f>DATA!W24</f>
        <v>25</v>
      </c>
      <c r="F15" s="120">
        <f>Complete!Z24</f>
        <v>13641.269386217988</v>
      </c>
      <c r="G15" s="121">
        <f>Complete!AA24</f>
        <v>3.9666462325535399</v>
      </c>
      <c r="H15" s="120">
        <f>Complete!AB24</f>
        <v>2487276599.5640502</v>
      </c>
      <c r="I15" s="121"/>
      <c r="J15" s="120"/>
      <c r="K15" s="120"/>
      <c r="L15" s="120"/>
      <c r="M15" s="120"/>
      <c r="N15" s="120"/>
      <c r="O15" s="120"/>
      <c r="P15" s="120"/>
      <c r="Q15" s="120"/>
      <c r="R15" s="120"/>
    </row>
    <row r="16" spans="1:18" x14ac:dyDescent="0.45">
      <c r="A16" s="122">
        <f>DATA!A25</f>
        <v>2016</v>
      </c>
      <c r="B16" s="120">
        <f>Complete!U25</f>
        <v>187140.453125</v>
      </c>
      <c r="C16" s="120">
        <f>Complete!T25</f>
        <v>11347.955658367815</v>
      </c>
      <c r="D16" s="120">
        <f>Complete!V25</f>
        <v>16095.847030784349</v>
      </c>
      <c r="E16" s="120">
        <f>DATA!W25</f>
        <v>24</v>
      </c>
      <c r="F16" s="120">
        <f>Complete!Z25</f>
        <v>9741.6651674288369</v>
      </c>
      <c r="G16" s="121">
        <f>Complete!AA25</f>
        <v>1.72826463324535</v>
      </c>
      <c r="H16" s="120">
        <f>Complete!AB25</f>
        <v>4215553160.0567698</v>
      </c>
      <c r="I16" s="121"/>
      <c r="J16" s="120"/>
      <c r="K16" s="120"/>
      <c r="L16" s="120"/>
      <c r="M16" s="120"/>
      <c r="N16" s="120"/>
      <c r="O16" s="120"/>
      <c r="P16" s="120"/>
      <c r="Q16" s="120"/>
      <c r="R16" s="120"/>
    </row>
    <row r="17" spans="1:18" x14ac:dyDescent="0.45">
      <c r="A17" s="122">
        <f>DATA!A26</f>
        <v>2017</v>
      </c>
      <c r="B17" s="120">
        <f>Complete!U26</f>
        <v>191572.671875</v>
      </c>
      <c r="C17" s="120">
        <f>Complete!T26</f>
        <v>11413.080235509979</v>
      </c>
      <c r="D17" s="120">
        <f>Complete!V26</f>
        <v>16008.864762184885</v>
      </c>
      <c r="E17" s="120">
        <f>DATA!W26</f>
        <v>23</v>
      </c>
      <c r="F17" s="120">
        <f>Complete!Z26</f>
        <v>8915.0762627261138</v>
      </c>
      <c r="G17" s="121">
        <f>Complete!AA26</f>
        <v>0.41733558866680298</v>
      </c>
      <c r="H17" s="120">
        <f>Complete!AB26</f>
        <v>2169697856.6482</v>
      </c>
      <c r="I17" s="121"/>
      <c r="J17" s="120"/>
      <c r="K17" s="120"/>
      <c r="L17" s="120"/>
      <c r="M17" s="120"/>
      <c r="N17" s="120"/>
      <c r="O17" s="120"/>
      <c r="P17" s="120"/>
      <c r="Q17" s="120"/>
      <c r="R17" s="120"/>
    </row>
    <row r="18" spans="1:18" x14ac:dyDescent="0.45">
      <c r="A18" s="122">
        <f>DATA!A27</f>
        <v>2018</v>
      </c>
      <c r="B18" s="120">
        <f>Complete!U27</f>
        <v>194042.609375</v>
      </c>
      <c r="C18" s="120">
        <f>Complete!T27</f>
        <v>11357.910515279533</v>
      </c>
      <c r="D18" s="120">
        <f>Complete!V27</f>
        <v>15843.31815486911</v>
      </c>
      <c r="E18" s="120">
        <f>DATA!W27</f>
        <v>22</v>
      </c>
      <c r="F18" s="120">
        <f>Complete!Z27</f>
        <v>10049.318111074797</v>
      </c>
      <c r="G18" s="121">
        <f>Complete!AA27</f>
        <v>-0.224103246005465</v>
      </c>
      <c r="H18" s="120">
        <f>Complete!AB27</f>
        <v>2158694032.4143</v>
      </c>
      <c r="I18" s="121"/>
      <c r="J18" s="120"/>
      <c r="K18" s="120"/>
      <c r="L18" s="120"/>
      <c r="M18" s="120"/>
      <c r="N18" s="120"/>
      <c r="O18" s="120"/>
      <c r="P18" s="120"/>
      <c r="Q18" s="120"/>
      <c r="R18" s="120"/>
    </row>
    <row r="19" spans="1:18" x14ac:dyDescent="0.45">
      <c r="A19" s="122">
        <f>DATA!A28</f>
        <v>2019</v>
      </c>
      <c r="B19" s="120">
        <f>Complete!U28</f>
        <v>194146.828125</v>
      </c>
      <c r="C19" s="120">
        <f>Complete!T28</f>
        <v>11174.778703821912</v>
      </c>
      <c r="D19" s="120">
        <f>Complete!V28</f>
        <v>15701.851019403648</v>
      </c>
      <c r="E19" s="120">
        <f>DATA!W28</f>
        <v>28</v>
      </c>
      <c r="F19" s="120">
        <f>Complete!Z28</f>
        <v>9206.9116892289749</v>
      </c>
      <c r="G19" s="121">
        <f>Complete!AA28</f>
        <v>0.26601251546613602</v>
      </c>
      <c r="H19" s="120">
        <f>Complete!AB28</f>
        <v>2940235064.0846901</v>
      </c>
      <c r="I19" s="121"/>
      <c r="J19" s="120"/>
      <c r="K19" s="120"/>
      <c r="L19" s="120"/>
      <c r="M19" s="120"/>
      <c r="N19" s="120"/>
      <c r="O19" s="120"/>
      <c r="P19" s="120"/>
      <c r="Q19" s="120"/>
      <c r="R19" s="120"/>
    </row>
    <row r="20" spans="1:18" x14ac:dyDescent="0.45">
      <c r="A20" s="122">
        <f>DATA!A29</f>
        <v>2020</v>
      </c>
      <c r="B20" s="120"/>
      <c r="C20" s="120"/>
      <c r="D20" s="120"/>
      <c r="E20" s="120">
        <f>DATA!W29</f>
        <v>28</v>
      </c>
      <c r="F20" s="120"/>
      <c r="G20" s="121">
        <f>Complete!AA29</f>
        <v>-0.33887239256227403</v>
      </c>
      <c r="H20" s="120">
        <f>Complete!AB29</f>
        <v>6569460538.8840504</v>
      </c>
      <c r="I20" s="121"/>
      <c r="J20" s="120"/>
      <c r="K20" s="120"/>
      <c r="L20" s="120"/>
      <c r="M20" s="120"/>
      <c r="N20" s="120"/>
      <c r="O20" s="120"/>
      <c r="P20" s="120"/>
      <c r="Q20" s="120"/>
      <c r="R20" s="120"/>
    </row>
    <row r="21" spans="1:18" x14ac:dyDescent="0.45">
      <c r="A21" s="122">
        <f>DATA!A30</f>
        <v>2021</v>
      </c>
      <c r="B21" s="120"/>
      <c r="C21" s="120"/>
      <c r="D21" s="120"/>
      <c r="E21" s="120"/>
      <c r="F21" s="120"/>
      <c r="G21" s="121"/>
      <c r="H21" s="120"/>
      <c r="I21" s="121"/>
      <c r="J21" s="120"/>
      <c r="K21" s="120"/>
      <c r="L21" s="120"/>
      <c r="M21" s="120"/>
      <c r="N21" s="120"/>
      <c r="O21" s="120"/>
      <c r="P21" s="120"/>
      <c r="Q21" s="120"/>
      <c r="R21" s="120"/>
    </row>
  </sheetData>
  <pageMargins left="0.7" right="0.7" top="0.75" bottom="0.75" header="0.3" footer="0.3"/>
  <pageSetup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3072D-EF2B-1F44-BBE7-6CC4311F7EF6}">
  <dimension ref="A1:AI27"/>
  <sheetViews>
    <sheetView zoomScale="110" zoomScaleNormal="110" workbookViewId="0">
      <selection activeCell="U58" sqref="U58"/>
    </sheetView>
  </sheetViews>
  <sheetFormatPr defaultColWidth="10.73046875" defaultRowHeight="14.25" x14ac:dyDescent="0.45"/>
  <cols>
    <col min="2" max="2" width="12.1328125" bestFit="1" customWidth="1"/>
    <col min="10" max="10" width="12.1328125" bestFit="1" customWidth="1"/>
    <col min="30" max="30" width="11.73046875" bestFit="1" customWidth="1"/>
  </cols>
  <sheetData>
    <row r="1" spans="1:35" x14ac:dyDescent="0.45">
      <c r="A1" t="s">
        <v>50</v>
      </c>
      <c r="B1" s="140" t="s">
        <v>75</v>
      </c>
      <c r="C1" s="140"/>
      <c r="D1" s="140"/>
      <c r="E1" s="140"/>
      <c r="F1" s="140"/>
      <c r="H1" s="115" t="s">
        <v>50</v>
      </c>
      <c r="I1" s="140" t="str">
        <f>Complete!AD3</f>
        <v>GDP</v>
      </c>
      <c r="J1" s="140"/>
      <c r="K1" s="140"/>
      <c r="L1" s="140"/>
      <c r="M1" s="140"/>
      <c r="O1" t="s">
        <v>50</v>
      </c>
      <c r="P1" s="140" t="s">
        <v>30</v>
      </c>
      <c r="Q1" s="140"/>
      <c r="R1" s="140"/>
      <c r="S1" s="140"/>
      <c r="T1" s="140"/>
      <c r="V1" t="s">
        <v>50</v>
      </c>
      <c r="W1" s="140" t="s">
        <v>28</v>
      </c>
      <c r="X1" s="140"/>
      <c r="Y1" s="140"/>
      <c r="Z1" s="140"/>
      <c r="AA1" s="140"/>
      <c r="AD1" s="140"/>
      <c r="AE1" s="140"/>
      <c r="AF1" s="140"/>
      <c r="AG1" s="140"/>
      <c r="AH1" s="140"/>
    </row>
    <row r="2" spans="1:35" x14ac:dyDescent="0.45">
      <c r="A2" t="s">
        <v>50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H2" s="115" t="s">
        <v>50</v>
      </c>
      <c r="I2" t="s">
        <v>45</v>
      </c>
      <c r="J2" t="s">
        <v>46</v>
      </c>
      <c r="K2" t="s">
        <v>47</v>
      </c>
      <c r="L2" t="s">
        <v>48</v>
      </c>
      <c r="M2" t="s">
        <v>49</v>
      </c>
      <c r="O2" t="s">
        <v>50</v>
      </c>
      <c r="P2" t="s">
        <v>45</v>
      </c>
      <c r="Q2" t="s">
        <v>46</v>
      </c>
      <c r="R2" t="s">
        <v>47</v>
      </c>
      <c r="S2" t="s">
        <v>48</v>
      </c>
      <c r="T2" t="s">
        <v>49</v>
      </c>
      <c r="V2" t="s">
        <v>50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35" x14ac:dyDescent="0.45">
      <c r="A3" t="s">
        <v>51</v>
      </c>
      <c r="B3" s="114">
        <v>100</v>
      </c>
      <c r="C3">
        <v>100</v>
      </c>
      <c r="D3">
        <v>100</v>
      </c>
      <c r="E3">
        <v>100</v>
      </c>
      <c r="F3">
        <v>100</v>
      </c>
      <c r="H3" s="115" t="s">
        <v>51</v>
      </c>
      <c r="I3" s="114">
        <v>100</v>
      </c>
      <c r="J3">
        <v>100</v>
      </c>
      <c r="K3">
        <v>100</v>
      </c>
      <c r="L3">
        <v>100</v>
      </c>
      <c r="M3">
        <v>100</v>
      </c>
      <c r="O3" t="s">
        <v>51</v>
      </c>
      <c r="P3" s="114">
        <v>100</v>
      </c>
      <c r="Q3">
        <v>100</v>
      </c>
      <c r="R3">
        <v>100</v>
      </c>
      <c r="S3">
        <v>100</v>
      </c>
      <c r="T3">
        <v>100</v>
      </c>
      <c r="V3" t="s">
        <v>51</v>
      </c>
      <c r="W3" s="114">
        <v>100</v>
      </c>
      <c r="X3">
        <v>100</v>
      </c>
      <c r="Y3">
        <v>100</v>
      </c>
      <c r="Z3">
        <v>100</v>
      </c>
      <c r="AA3">
        <v>100</v>
      </c>
      <c r="AD3" s="114"/>
      <c r="AE3" s="105"/>
      <c r="AF3" s="116"/>
      <c r="AG3" s="116"/>
      <c r="AH3" s="116"/>
      <c r="AI3" s="116"/>
    </row>
    <row r="4" spans="1:35" x14ac:dyDescent="0.45">
      <c r="A4" t="s">
        <v>52</v>
      </c>
      <c r="B4" s="114">
        <f>Complete!B10/Complete!B$9*100</f>
        <v>94.55290799690323</v>
      </c>
      <c r="C4">
        <f>Complete!K13/Complete!K$12*100</f>
        <v>102.29847998637112</v>
      </c>
      <c r="D4">
        <f>Complete!T14/Complete!T$13*100</f>
        <v>103.54385794384675</v>
      </c>
      <c r="E4">
        <f>Complete!AC14/Complete!AC$13*100</f>
        <v>102.86820337972595</v>
      </c>
      <c r="F4">
        <f>Complete!AL6/Complete!AL$5*100</f>
        <v>104.26521613395698</v>
      </c>
      <c r="H4" s="115" t="s">
        <v>52</v>
      </c>
      <c r="I4" s="114">
        <f>Complete!C10/Complete!C$9*100</f>
        <v>95.59115985456404</v>
      </c>
      <c r="J4">
        <f>Complete!L13/Complete!L$12*100</f>
        <v>104.17329253423509</v>
      </c>
      <c r="K4">
        <f>Complete!U14/Complete!U$13*100</f>
        <v>105.29131249574223</v>
      </c>
      <c r="L4">
        <f>Complete!AD14/Complete!AD$13*100</f>
        <v>104.28239466820786</v>
      </c>
      <c r="M4">
        <f>Complete!AM6/Complete!AM$5*100</f>
        <v>106.37092109930974</v>
      </c>
      <c r="O4" t="s">
        <v>52</v>
      </c>
      <c r="P4" s="114">
        <f>Complete!D10/Complete!D$9*100</f>
        <v>98.384230388010579</v>
      </c>
      <c r="Q4">
        <f>Complete!M13/Complete!M$12*100</f>
        <v>94.331043670618854</v>
      </c>
      <c r="R4">
        <f>Complete!V14/Complete!V$13*100</f>
        <v>106.05581911299203</v>
      </c>
      <c r="S4">
        <f>Complete!AE14/Complete!AE$13*100</f>
        <v>100.48666175222294</v>
      </c>
      <c r="T4">
        <f>Complete!AM6/Complete!AM$5*100</f>
        <v>106.37092109930974</v>
      </c>
      <c r="V4" t="s">
        <v>52</v>
      </c>
      <c r="W4" s="114">
        <f>Complete!G10/Complete!G9*100</f>
        <v>91.131513742461536</v>
      </c>
      <c r="X4">
        <f>Complete!P13/Complete!P$12*100</f>
        <v>97.060780114491038</v>
      </c>
      <c r="Y4">
        <f>Complete!Y14/Complete!Y$13*100</f>
        <v>94.508074693391777</v>
      </c>
      <c r="Z4">
        <f>Complete!AH14/Complete!AH$13*100</f>
        <v>108.68469822727072</v>
      </c>
      <c r="AA4">
        <f>Complete!AQ6/Complete!AQ$5*100</f>
        <v>98.797477709385674</v>
      </c>
      <c r="AD4" s="114"/>
      <c r="AE4" s="105"/>
      <c r="AF4" s="116"/>
      <c r="AG4" s="116"/>
      <c r="AH4" s="116"/>
      <c r="AI4" s="116"/>
    </row>
    <row r="5" spans="1:35" x14ac:dyDescent="0.45">
      <c r="A5" t="s">
        <v>53</v>
      </c>
      <c r="B5" s="114">
        <f>Complete!B11/Complete!B$9*100</f>
        <v>83.343862058879211</v>
      </c>
      <c r="C5">
        <f>Complete!F14/Complete!F$12*100</f>
        <v>136.57677049690787</v>
      </c>
      <c r="D5">
        <f>Complete!T15/Complete!T$13*100</f>
        <v>106.30771536153661</v>
      </c>
      <c r="E5">
        <f>Complete!AC15/Complete!AC$13*100</f>
        <v>105.68059475557881</v>
      </c>
      <c r="F5">
        <f>Complete!AL7/Complete!AL$5*100</f>
        <v>102.5474246226516</v>
      </c>
      <c r="H5" s="115" t="s">
        <v>53</v>
      </c>
      <c r="I5" s="114">
        <f>Complete!C11/Complete!C$9*100</f>
        <v>85.176985530395882</v>
      </c>
      <c r="J5">
        <f>Complete!L14/Complete!L$12*100</f>
        <v>108.7790742024322</v>
      </c>
      <c r="K5">
        <f>Complete!U15/Complete!U$13*100</f>
        <v>109.92779791445653</v>
      </c>
      <c r="L5">
        <f>Complete!AD15/Complete!AD$13*100</f>
        <v>108.61226709760781</v>
      </c>
      <c r="M5">
        <f>Complete!AM7/Complete!AM$5*100</f>
        <v>106.6836237214375</v>
      </c>
      <c r="O5" t="s">
        <v>53</v>
      </c>
      <c r="P5" s="114">
        <f>Complete!D11/Complete!D$9*100</f>
        <v>70.115685231934052</v>
      </c>
      <c r="Q5">
        <f>Complete!M14/Complete!M$12*100</f>
        <v>94.407034020416589</v>
      </c>
      <c r="R5">
        <f>Complete!V15/Complete!V$13*100</f>
        <v>110.98700121264613</v>
      </c>
      <c r="S5">
        <f>Complete!AE15/Complete!AE$13*100</f>
        <v>101.84938620625456</v>
      </c>
      <c r="T5">
        <f>Complete!AM7/Complete!AM$5*100</f>
        <v>106.6836237214375</v>
      </c>
      <c r="V5" t="s">
        <v>53</v>
      </c>
      <c r="W5" s="114">
        <f>Complete!G11/Complete!G10*100</f>
        <v>90.383511292932468</v>
      </c>
      <c r="X5">
        <f>Complete!P14/Complete!P$12*100</f>
        <v>95.380723306644029</v>
      </c>
      <c r="Y5">
        <f>Complete!Y15/Complete!Y$13*100</f>
        <v>96.952108014422976</v>
      </c>
      <c r="Z5">
        <f>Complete!AH15/Complete!AH$13*100</f>
        <v>114.83529248673332</v>
      </c>
      <c r="AA5">
        <f>Complete!AQ7/Complete!AQ$5*100</f>
        <v>93.891633779879115</v>
      </c>
      <c r="AD5" s="114"/>
      <c r="AE5" s="105"/>
      <c r="AF5" s="116"/>
      <c r="AG5" s="116"/>
      <c r="AH5" s="116"/>
      <c r="AI5" s="116"/>
    </row>
    <row r="6" spans="1:35" x14ac:dyDescent="0.45">
      <c r="A6" t="s">
        <v>43</v>
      </c>
      <c r="B6" s="114">
        <f>Complete!B12/Complete!B$9*100</f>
        <v>89.741801592672743</v>
      </c>
      <c r="C6">
        <f>Complete!F15/Complete!F$12*100</f>
        <v>149.60270857463536</v>
      </c>
      <c r="D6">
        <f>Complete!T16/Complete!T$13*100</f>
        <v>106.83374418386646</v>
      </c>
      <c r="E6">
        <f>Complete!AC16/Complete!AC$13*100</f>
        <v>109.52979666406006</v>
      </c>
      <c r="F6">
        <f>Complete!AL8/Complete!AL$5*100</f>
        <v>94.591824263137738</v>
      </c>
      <c r="H6" s="115" t="s">
        <v>43</v>
      </c>
      <c r="I6" s="114">
        <f>Complete!C12/Complete!C$9*100</f>
        <v>92.704120829965177</v>
      </c>
      <c r="J6">
        <f>Complete!L15/Complete!L$12*100</f>
        <v>113.99734539218554</v>
      </c>
      <c r="K6">
        <f>Complete!U16/Complete!U$13*100</f>
        <v>112.33532856285547</v>
      </c>
      <c r="L6">
        <f>Complete!AD16/Complete!AD$13*100</f>
        <v>114.1258165273041</v>
      </c>
      <c r="M6">
        <f>Complete!AM8/Complete!AM$5*100</f>
        <v>100.31403456709238</v>
      </c>
      <c r="O6" t="s">
        <v>43</v>
      </c>
      <c r="P6" s="114">
        <f>Complete!D12/Complete!D$9*100</f>
        <v>71.051987947828351</v>
      </c>
      <c r="Q6">
        <f>Complete!M15/Complete!M$12*100</f>
        <v>89.199696878806705</v>
      </c>
      <c r="R6">
        <f>Complete!V16/Complete!V$13*100</f>
        <v>113.00087146042313</v>
      </c>
      <c r="S6">
        <f>Complete!AE16/Complete!AE$13*100</f>
        <v>104.20493058517395</v>
      </c>
      <c r="T6">
        <f>Complete!AM8/Complete!AM$5*100</f>
        <v>100.31403456709238</v>
      </c>
      <c r="V6" t="s">
        <v>43</v>
      </c>
      <c r="W6" s="114">
        <f>Complete!G12/Complete!G11*100</f>
        <v>97.454581857006573</v>
      </c>
      <c r="X6">
        <f>Complete!P15/Complete!P$12*100</f>
        <v>92.814296494505641</v>
      </c>
      <c r="Y6">
        <f>Complete!Y16/Complete!Y$13*100</f>
        <v>101.46661847827936</v>
      </c>
      <c r="Z6">
        <f>Complete!AH16/Complete!AH$13*100</f>
        <v>116.04957241011897</v>
      </c>
      <c r="AA6">
        <f>Complete!AQ8/Complete!AQ$5*100</f>
        <v>72.542229107157041</v>
      </c>
      <c r="AD6" s="114"/>
      <c r="AE6" s="105"/>
      <c r="AF6" s="116"/>
      <c r="AG6" s="116"/>
      <c r="AH6" s="116"/>
      <c r="AI6" s="116"/>
    </row>
    <row r="7" spans="1:35" x14ac:dyDescent="0.45">
      <c r="A7" t="s">
        <v>54</v>
      </c>
      <c r="B7" s="114">
        <f>Complete!B13/Complete!B$9*100</f>
        <v>96.817879479396836</v>
      </c>
      <c r="C7">
        <f>Complete!F16/Complete!F$12*100</f>
        <v>173.06279093134435</v>
      </c>
      <c r="D7">
        <f>Complete!T17/Complete!T$13*100</f>
        <v>111.7556267790296</v>
      </c>
      <c r="E7">
        <f>Complete!AC17/Complete!AC$13*100</f>
        <v>111.74614496774578</v>
      </c>
      <c r="F7">
        <f>Complete!AL9/Complete!AL$5*100</f>
        <v>96.244521511822413</v>
      </c>
      <c r="H7" s="115" t="s">
        <v>54</v>
      </c>
      <c r="I7" s="114">
        <f>Complete!C13/Complete!C$9*100</f>
        <v>101.07489992064225</v>
      </c>
      <c r="J7">
        <f>Complete!L16/Complete!L$12*100</f>
        <v>119.20055813562252</v>
      </c>
      <c r="K7">
        <f>Complete!U17/Complete!U$13*100</f>
        <v>119.47663031103441</v>
      </c>
      <c r="L7">
        <f>Complete!AD17/Complete!AD$13*100</f>
        <v>118.04685012341089</v>
      </c>
      <c r="M7">
        <f>Complete!AM9/Complete!AM$5*100</f>
        <v>104.01263262271152</v>
      </c>
      <c r="O7" t="s">
        <v>54</v>
      </c>
      <c r="P7" s="114">
        <f>Complete!D13/Complete!D$9*100</f>
        <v>76.110406748913405</v>
      </c>
      <c r="Q7">
        <f>Complete!M16/Complete!M$12*100</f>
        <v>90.500303433462108</v>
      </c>
      <c r="R7">
        <f>Complete!V17/Complete!V$13*100</f>
        <v>121.76124664261249</v>
      </c>
      <c r="S7">
        <f>Complete!AE17/Complete!AE$13*100</f>
        <v>107.34759190515378</v>
      </c>
      <c r="T7">
        <f>Complete!AM9/Complete!AM$5*100</f>
        <v>104.01263262271152</v>
      </c>
      <c r="V7" t="s">
        <v>54</v>
      </c>
      <c r="W7" s="114">
        <f>Complete!G13/Complete!G12*100</f>
        <v>97.211974812064213</v>
      </c>
      <c r="X7">
        <f>Complete!P16/Complete!P$12*100</f>
        <v>91.07909479527703</v>
      </c>
      <c r="Y7">
        <f>Complete!Y17/Complete!Y$13*100</f>
        <v>110.57710116521606</v>
      </c>
      <c r="Z7">
        <f>Complete!AH17/Complete!AH$13*100</f>
        <v>127.51226849829681</v>
      </c>
      <c r="AA7">
        <f>Complete!AQ9/Complete!AQ$5*100</f>
        <v>59.715179580472245</v>
      </c>
      <c r="AD7" s="114"/>
      <c r="AE7" s="105"/>
      <c r="AF7" s="116"/>
      <c r="AG7" s="116"/>
      <c r="AH7" s="116"/>
      <c r="AI7" s="116"/>
    </row>
    <row r="8" spans="1:35" x14ac:dyDescent="0.45">
      <c r="A8" t="s">
        <v>55</v>
      </c>
      <c r="B8" s="114">
        <f>Complete!B14/Complete!B$9*100</f>
        <v>104.3014043886525</v>
      </c>
      <c r="C8">
        <f>Complete!F17/Complete!F$12*100</f>
        <v>188.16505736328128</v>
      </c>
      <c r="D8">
        <f>Complete!T18/Complete!T$13*100</f>
        <v>110.57304795054827</v>
      </c>
      <c r="E8">
        <f>Complete!AC18/Complete!AC$13*100</f>
        <v>106.59785738921434</v>
      </c>
      <c r="F8">
        <f>Complete!AL10/Complete!AL$5*100</f>
        <v>97.678167596011932</v>
      </c>
      <c r="H8" s="115" t="s">
        <v>55</v>
      </c>
      <c r="I8" s="114">
        <f>Complete!C14/Complete!C$9*100</f>
        <v>110.02171784646089</v>
      </c>
      <c r="J8">
        <f>Complete!L17/Complete!L$12*100</f>
        <v>126.52960951535471</v>
      </c>
      <c r="K8">
        <f>Complete!U18/Complete!U$13*100</f>
        <v>120.1534623308581</v>
      </c>
      <c r="L8">
        <f>Complete!AD18/Complete!AD$13*100</f>
        <v>114.15995928637032</v>
      </c>
      <c r="M8">
        <f>Complete!AM10/Complete!AM$5*100</f>
        <v>107.54310116822229</v>
      </c>
      <c r="O8" t="s">
        <v>55</v>
      </c>
      <c r="P8" s="114">
        <f>Complete!D14/Complete!D$9*100</f>
        <v>82.325998765921852</v>
      </c>
      <c r="Q8">
        <f>Complete!M17/Complete!M$12*100</f>
        <v>89.222562921012837</v>
      </c>
      <c r="R8">
        <f>Complete!V18/Complete!V$13*100</f>
        <v>123.91503519118237</v>
      </c>
      <c r="S8">
        <f>Complete!AE18/Complete!AE$13*100</f>
        <v>101.55887247597433</v>
      </c>
      <c r="T8">
        <f>Complete!AM10/Complete!AM$5*100</f>
        <v>107.54310116822229</v>
      </c>
      <c r="V8" t="s">
        <v>55</v>
      </c>
      <c r="W8" s="114">
        <f>Complete!G14/Complete!G13*100</f>
        <v>105.71664492512924</v>
      </c>
      <c r="X8">
        <f>Complete!P17/Complete!P$12*100</f>
        <v>85.637952564052398</v>
      </c>
      <c r="Y8">
        <f>Complete!Y18/Complete!Y$13*100</f>
        <v>129.22100255398894</v>
      </c>
      <c r="Z8">
        <f>Complete!AH18/Complete!AH$13*100</f>
        <v>129.34739051092464</v>
      </c>
      <c r="AA8">
        <f>Complete!AQ10/Complete!AQ$5*100</f>
        <v>64.376850884126924</v>
      </c>
      <c r="AD8" s="114"/>
      <c r="AE8" s="105"/>
      <c r="AF8" s="116"/>
      <c r="AG8" s="116"/>
      <c r="AH8" s="116"/>
      <c r="AI8" s="116"/>
    </row>
    <row r="9" spans="1:35" x14ac:dyDescent="0.45">
      <c r="A9" t="s">
        <v>56</v>
      </c>
      <c r="B9" s="114">
        <f>Complete!B15/Complete!B$9*100</f>
        <v>111.55612849612184</v>
      </c>
      <c r="C9">
        <f>Complete!F18/Complete!F$12*100</f>
        <v>181.37272279934794</v>
      </c>
      <c r="D9">
        <f>Complete!T19/Complete!T$13*100</f>
        <v>112.6661054391332</v>
      </c>
      <c r="E9">
        <f>Complete!AC19/Complete!AC$13*100</f>
        <v>109.79804146867751</v>
      </c>
      <c r="F9">
        <f>Complete!AL11/Complete!AL$5*100</f>
        <v>87.418011803752194</v>
      </c>
      <c r="H9" s="115" t="s">
        <v>56</v>
      </c>
      <c r="I9" s="114">
        <f>Complete!C15/Complete!C$9*100</f>
        <v>118.87532204736912</v>
      </c>
      <c r="J9">
        <f>Complete!L18/Complete!L$12*100</f>
        <v>130.7775180530237</v>
      </c>
      <c r="K9">
        <f>Complete!U19/Complete!U$13*100</f>
        <v>124.3892194516047</v>
      </c>
      <c r="L9">
        <f>Complete!AD19/Complete!AD$13*100</f>
        <v>119.19453458173739</v>
      </c>
      <c r="M9">
        <f>Complete!AM11/Complete!AM$5*100</f>
        <v>98.019390226461837</v>
      </c>
      <c r="O9" t="s">
        <v>56</v>
      </c>
      <c r="P9" s="114">
        <f>Complete!D15/Complete!D$9*100</f>
        <v>90.164064313023971</v>
      </c>
      <c r="Q9">
        <f>Complete!M18/Complete!M$12*100</f>
        <v>97.42918861676722</v>
      </c>
      <c r="R9">
        <f>Complete!V19/Complete!V$13*100</f>
        <v>128.19578313363408</v>
      </c>
      <c r="S9">
        <f>Complete!AE19/Complete!AE$13*100</f>
        <v>103.14674052884723</v>
      </c>
      <c r="T9">
        <f>Complete!AM11/Complete!AM$5*100</f>
        <v>98.019390226461837</v>
      </c>
      <c r="V9" t="s">
        <v>56</v>
      </c>
      <c r="W9" s="114">
        <f>Complete!G15/Complete!G14*100</f>
        <v>114.62998302566633</v>
      </c>
      <c r="X9">
        <f>Complete!P18/Complete!P$12*100</f>
        <v>84.276839732695294</v>
      </c>
      <c r="Y9">
        <f>Complete!Y19/Complete!Y$13*100</f>
        <v>133.08149414740959</v>
      </c>
      <c r="Z9">
        <f>Complete!AH19/Complete!AH$13*100</f>
        <v>136.79256354264024</v>
      </c>
      <c r="AA9">
        <f>Complete!AQ11/Complete!AQ$5*100</f>
        <v>54.891885136521744</v>
      </c>
      <c r="AD9" s="114"/>
      <c r="AE9" s="105"/>
      <c r="AF9" s="116"/>
      <c r="AG9" s="116"/>
      <c r="AH9" s="116"/>
      <c r="AI9" s="116"/>
    </row>
    <row r="10" spans="1:35" x14ac:dyDescent="0.45">
      <c r="A10" t="s">
        <v>57</v>
      </c>
      <c r="B10" s="114">
        <f>Complete!B16/Complete!B$9*100</f>
        <v>120.39610242926328</v>
      </c>
      <c r="C10">
        <f>Complete!F19/Complete!F$12*100</f>
        <v>205.71759873196967</v>
      </c>
      <c r="D10">
        <f>Complete!T20/Complete!T$13*100</f>
        <v>119.67511550216032</v>
      </c>
      <c r="E10">
        <f>Complete!AC20/Complete!AC$13*100</f>
        <v>115.17188591275136</v>
      </c>
      <c r="F10">
        <f>Complete!AL12/Complete!AL$5*100</f>
        <v>79.214566992925654</v>
      </c>
      <c r="H10" s="115" t="s">
        <v>57</v>
      </c>
      <c r="I10" s="114">
        <f>Complete!C16/Complete!C$9*100</f>
        <v>129.5831967365682</v>
      </c>
      <c r="J10">
        <f>Complete!L19/Complete!L$12*100</f>
        <v>136.17423100695731</v>
      </c>
      <c r="K10">
        <f>Complete!U20/Complete!U$13*100</f>
        <v>134.17633995157638</v>
      </c>
      <c r="L10">
        <f>Complete!AD20/Complete!AD$13*100</f>
        <v>126.72364795594389</v>
      </c>
      <c r="M10">
        <f>Complete!AM12/Complete!AM$5*100</f>
        <v>90.417782424278357</v>
      </c>
      <c r="O10" t="s">
        <v>57</v>
      </c>
      <c r="P10" s="114">
        <f>Complete!D16/Complete!D$9*100</f>
        <v>96.914560316515846</v>
      </c>
      <c r="Q10">
        <f>Complete!M19/Complete!M$12*100</f>
        <v>94.204278772582811</v>
      </c>
      <c r="R10">
        <f>Complete!V20/Complete!V$13*100</f>
        <v>138.11663434031692</v>
      </c>
      <c r="S10">
        <f>Complete!AE20/Complete!AE$13*100</f>
        <v>106.73651452491258</v>
      </c>
      <c r="T10">
        <f>Complete!AM12/Complete!AM$5*100</f>
        <v>90.417782424278357</v>
      </c>
      <c r="V10" t="s">
        <v>57</v>
      </c>
      <c r="W10" s="114">
        <f>Complete!G16/Complete!G15*100</f>
        <v>120.58366060822989</v>
      </c>
      <c r="X10">
        <f>Complete!P19/Complete!P$12*100</f>
        <v>79.704125937424536</v>
      </c>
      <c r="Y10">
        <f>Complete!Y20/Complete!Y$13*100</f>
        <v>146.55079149128088</v>
      </c>
      <c r="Z10">
        <f>Complete!AH20/Complete!AH$13*100</f>
        <v>147.5932544366774</v>
      </c>
      <c r="AA10">
        <f>Complete!AQ12/Complete!AQ$5*100</f>
        <v>53.127395554314937</v>
      </c>
      <c r="AD10" s="114"/>
      <c r="AE10" s="105"/>
      <c r="AF10" s="116"/>
      <c r="AG10" s="116"/>
      <c r="AH10" s="116"/>
      <c r="AI10" s="116"/>
    </row>
    <row r="11" spans="1:35" x14ac:dyDescent="0.45">
      <c r="A11" t="s">
        <v>58</v>
      </c>
      <c r="B11" s="114">
        <f>Complete!B17/Complete!B$9*100</f>
        <v>124.04347338561604</v>
      </c>
      <c r="C11">
        <f>Complete!F20/Complete!F$12*100</f>
        <v>216.80093958755563</v>
      </c>
      <c r="D11">
        <f>Complete!T21/Complete!T$13*100</f>
        <v>124.54621732764031</v>
      </c>
      <c r="E11">
        <f>Complete!AC21/Complete!AC$13*100</f>
        <v>121.02396010067369</v>
      </c>
      <c r="F11">
        <f>Complete!AL13/Complete!AL$5*100</f>
        <v>92.096243769185847</v>
      </c>
      <c r="H11" s="115" t="s">
        <v>58</v>
      </c>
      <c r="I11" s="114">
        <f>Complete!C17/Complete!C$9*100</f>
        <v>134.84068729672717</v>
      </c>
      <c r="J11">
        <f>Complete!L20/Complete!L$12*100</f>
        <v>143.26078037552927</v>
      </c>
      <c r="K11">
        <f>Complete!U21/Complete!U$13*100</f>
        <v>141.74652459872843</v>
      </c>
      <c r="L11">
        <f>Complete!AD21/Complete!AD$13*100</f>
        <v>134.95578006541422</v>
      </c>
      <c r="M11">
        <f>Complete!AM13/Complete!AM$5*100</f>
        <v>106.95193832622924</v>
      </c>
      <c r="O11" t="s">
        <v>58</v>
      </c>
      <c r="P11" s="114">
        <f>Complete!D17/Complete!D$9*100</f>
        <v>108.95394428917413</v>
      </c>
      <c r="Q11">
        <f>Complete!M20/Complete!M$12*100</f>
        <v>97.240948211193896</v>
      </c>
      <c r="R11">
        <f>Complete!V21/Complete!V$13*100</f>
        <v>145.53091500063761</v>
      </c>
      <c r="S11">
        <f>Complete!AE21/Complete!AE$13*100</f>
        <v>109.07574476796017</v>
      </c>
      <c r="T11">
        <f>Complete!AM13/Complete!AM$5*100</f>
        <v>106.95193832622924</v>
      </c>
      <c r="V11" t="s">
        <v>58</v>
      </c>
      <c r="W11" s="114">
        <f>Complete!G17/Complete!G16*100</f>
        <v>116.01514195013631</v>
      </c>
      <c r="X11">
        <f>Complete!P20/Complete!P$12*100</f>
        <v>78.561782971706904</v>
      </c>
      <c r="Y11">
        <f>Complete!Y21/Complete!Y$13*100</f>
        <v>144.04625470716738</v>
      </c>
      <c r="Z11">
        <f>Complete!AH21/Complete!AH$13*100</f>
        <v>151.14276166172289</v>
      </c>
      <c r="AA11">
        <f>Complete!AQ13/Complete!AQ$5*100</f>
        <v>53.384498245648601</v>
      </c>
      <c r="AD11" s="114"/>
      <c r="AE11" s="105"/>
      <c r="AF11" s="116"/>
      <c r="AG11" s="116"/>
      <c r="AH11" s="116"/>
      <c r="AI11" s="116"/>
    </row>
    <row r="12" spans="1:35" x14ac:dyDescent="0.45">
      <c r="A12" t="s">
        <v>59</v>
      </c>
      <c r="B12" s="114">
        <f>Complete!B18/Complete!B$9*100</f>
        <v>115.54125480052491</v>
      </c>
      <c r="C12">
        <f>Complete!F21/Complete!F$12*100</f>
        <v>223.35943782745608</v>
      </c>
      <c r="D12">
        <f>Complete!T22/Complete!T$13*100</f>
        <v>128.76493413626895</v>
      </c>
      <c r="E12">
        <f>Complete!AC22/Complete!AC$13*100</f>
        <v>125.3126629187076</v>
      </c>
      <c r="F12">
        <f>Complete!AL14/Complete!AL$5*100</f>
        <v>99.923356691329815</v>
      </c>
      <c r="H12" s="115" t="s">
        <v>59</v>
      </c>
      <c r="I12" s="114">
        <f>Complete!C18/Complete!C$9*100</f>
        <v>126.86011077939921</v>
      </c>
      <c r="J12">
        <f>Complete!L21/Complete!L$12*100</f>
        <v>150.59899382199612</v>
      </c>
      <c r="K12">
        <f>Complete!U22/Complete!U$13*100</f>
        <v>148.75802713611563</v>
      </c>
      <c r="L12">
        <f>Complete!AD22/Complete!AD$13*100</f>
        <v>141.60518822691407</v>
      </c>
      <c r="M12">
        <f>Complete!AM14/Complete!AM$5*100</f>
        <v>117.98714041386651</v>
      </c>
      <c r="O12" t="s">
        <v>59</v>
      </c>
      <c r="P12" s="114">
        <f>Complete!D18/Complete!D$9*100</f>
        <v>111.47620998861163</v>
      </c>
      <c r="Q12">
        <f>Complete!M21/Complete!M$12*100</f>
        <v>99.124824451222111</v>
      </c>
      <c r="R12">
        <f>Complete!V22/Complete!V$13*100</f>
        <v>145.61097035780188</v>
      </c>
      <c r="S12">
        <f>Complete!AE22/Complete!AE$13*100</f>
        <v>111.74980504769789</v>
      </c>
      <c r="T12">
        <f>Complete!AM14/Complete!AM$5*100</f>
        <v>117.98714041386651</v>
      </c>
      <c r="V12" t="s">
        <v>59</v>
      </c>
      <c r="W12" s="114">
        <f>Complete!G18/Complete!G17*100</f>
        <v>121.40226820245789</v>
      </c>
      <c r="X12">
        <f>Complete!P21/Complete!P$12*100</f>
        <v>72.016599804968479</v>
      </c>
      <c r="Y12">
        <f>Complete!Y22/Complete!Y$13*100</f>
        <v>160.45536133908885</v>
      </c>
      <c r="Z12">
        <f>Complete!AH22/Complete!AH$13*100</f>
        <v>169.3556626282178</v>
      </c>
      <c r="AA12">
        <f>Complete!AQ14/Complete!AQ$5*100</f>
        <v>50.288730000483262</v>
      </c>
      <c r="AD12" s="114"/>
      <c r="AE12" s="105"/>
      <c r="AF12" s="116"/>
      <c r="AG12" s="116"/>
      <c r="AH12" s="116"/>
      <c r="AI12" s="116"/>
    </row>
    <row r="13" spans="1:35" x14ac:dyDescent="0.45">
      <c r="A13" t="s">
        <v>60</v>
      </c>
      <c r="B13" s="114">
        <f>Complete!B19/Complete!B$9*100</f>
        <v>125.95540052133441</v>
      </c>
      <c r="C13">
        <f>Complete!F22/Complete!F$12*100</f>
        <v>224.87692932019323</v>
      </c>
      <c r="D13">
        <f>Complete!T23/Complete!T$13*100</f>
        <v>131.59638428837647</v>
      </c>
      <c r="E13">
        <f>Complete!AC23/Complete!AC$13*100</f>
        <v>129.5934847491219</v>
      </c>
      <c r="F13">
        <f>Complete!AL15/Complete!AL$5*100</f>
        <v>108.07986160862382</v>
      </c>
      <c r="H13" s="115" t="s">
        <v>60</v>
      </c>
      <c r="I13" s="114">
        <f>Complete!C19/Complete!C$9*100</f>
        <v>139.70520408965405</v>
      </c>
      <c r="J13">
        <f>Complete!L22/Complete!L$12*100</f>
        <v>160.83372333279868</v>
      </c>
      <c r="K13">
        <f>Complete!U23/Complete!U$13*100</f>
        <v>154.39427491674223</v>
      </c>
      <c r="L13">
        <f>Complete!AD23/Complete!AD$13*100</f>
        <v>148.3816516260604</v>
      </c>
      <c r="M13">
        <f>Complete!AM15/Complete!AM$5*100</f>
        <v>129.63506762969587</v>
      </c>
      <c r="O13" t="s">
        <v>60</v>
      </c>
      <c r="P13" s="114">
        <f>Complete!D19/Complete!D$9*100</f>
        <v>118.41854818170549</v>
      </c>
      <c r="Q13">
        <f>Complete!M22/Complete!M$12*100</f>
        <v>104.86848575239642</v>
      </c>
      <c r="R13">
        <f>Complete!V23/Complete!V$13*100</f>
        <v>148.15559244004817</v>
      </c>
      <c r="S13">
        <f>Complete!AE23/Complete!AE$13*100</f>
        <v>113.09853187527862</v>
      </c>
      <c r="T13">
        <f>Complete!AM15/Complete!AM$5*100</f>
        <v>129.63506762969587</v>
      </c>
      <c r="V13" t="s">
        <v>60</v>
      </c>
      <c r="W13" s="114">
        <f>Complete!G19/Complete!G18*100</f>
        <v>121.72495925451972</v>
      </c>
      <c r="X13">
        <f>Complete!P22/Complete!P$12*100</f>
        <v>81.213517966526936</v>
      </c>
      <c r="Y13">
        <f>Complete!Y23/Complete!Y$13*100</f>
        <v>176.78412614322389</v>
      </c>
      <c r="Z13">
        <f>Complete!AH23/Complete!AH$13*100</f>
        <v>187.21077302067013</v>
      </c>
      <c r="AA13">
        <f>Complete!AQ15/Complete!AQ$5*100</f>
        <v>55.133087560745388</v>
      </c>
      <c r="AD13" s="114"/>
      <c r="AE13" s="105"/>
      <c r="AF13" s="116"/>
      <c r="AG13" s="116"/>
      <c r="AH13" s="116"/>
      <c r="AI13" s="116"/>
    </row>
    <row r="14" spans="1:35" x14ac:dyDescent="0.45">
      <c r="A14" t="s">
        <v>61</v>
      </c>
      <c r="B14" s="114">
        <f>Complete!B20/Complete!B$9*100</f>
        <v>132.14522474935802</v>
      </c>
      <c r="C14">
        <f>Complete!F23/Complete!F$12*100</f>
        <v>216.72118654911912</v>
      </c>
      <c r="D14">
        <f>Complete!T24/Complete!T$13*100</f>
        <v>129.61247141332791</v>
      </c>
      <c r="E14">
        <f>Complete!AC24/Complete!AC$13*100</f>
        <v>134.04707499247914</v>
      </c>
      <c r="F14">
        <f>Complete!AL16/Complete!AL$5*100</f>
        <v>115.82650017271668</v>
      </c>
      <c r="H14" s="115" t="s">
        <v>61</v>
      </c>
      <c r="I14" s="114">
        <f>Complete!C20/Complete!C$9*100</f>
        <v>148.09303526002435</v>
      </c>
      <c r="J14">
        <f>Complete!L23/Complete!L$12*100</f>
        <v>169.6161456892311</v>
      </c>
      <c r="K14">
        <f>Complete!U24/Complete!U$13*100</f>
        <v>154.54692663980319</v>
      </c>
      <c r="L14">
        <f>Complete!AD24/Complete!AD$13*100</f>
        <v>155.49249319445545</v>
      </c>
      <c r="M14">
        <f>Complete!AM16/Complete!AM$5*100</f>
        <v>140.98296472834676</v>
      </c>
      <c r="O14" t="s">
        <v>61</v>
      </c>
      <c r="P14" s="114">
        <f>Complete!D20/Complete!D$9*100</f>
        <v>131.76825790775342</v>
      </c>
      <c r="Q14">
        <f>Complete!M23/Complete!M$12*100</f>
        <v>110.09145407319585</v>
      </c>
      <c r="R14">
        <f>Complete!V24/Complete!V$13*100</f>
        <v>145.18388108910858</v>
      </c>
      <c r="S14">
        <f>Complete!AE24/Complete!AE$13*100</f>
        <v>116.35850610479557</v>
      </c>
      <c r="T14">
        <f>Complete!AM16/Complete!AM$5*100</f>
        <v>140.98296472834676</v>
      </c>
      <c r="V14" t="s">
        <v>61</v>
      </c>
      <c r="W14" s="114">
        <f>Complete!G20/Complete!G19*100</f>
        <v>123.49042696636006</v>
      </c>
      <c r="X14">
        <f>Complete!P23/Complete!P$12*100</f>
        <v>93.600219397385885</v>
      </c>
      <c r="Y14">
        <f>Complete!Y24/Complete!Y$13*100</f>
        <v>189.03165808530809</v>
      </c>
      <c r="Z14">
        <f>Complete!AH24/Complete!AH$13*100</f>
        <v>205.01049568344158</v>
      </c>
      <c r="AA14">
        <f>Complete!AQ16/Complete!AQ$5*100</f>
        <v>64.573111222971022</v>
      </c>
      <c r="AD14" s="114"/>
      <c r="AE14" s="105"/>
      <c r="AF14" s="116"/>
      <c r="AG14" s="116"/>
      <c r="AH14" s="116"/>
      <c r="AI14" s="116"/>
    </row>
    <row r="15" spans="1:35" x14ac:dyDescent="0.45">
      <c r="A15" t="s">
        <v>63</v>
      </c>
      <c r="B15" s="114">
        <f>Complete!B21/Complete!B$9*100</f>
        <v>129.42726420512366</v>
      </c>
      <c r="C15">
        <f>Complete!F24/Complete!F$12*100</f>
        <v>221.35325590233964</v>
      </c>
      <c r="D15">
        <f>Complete!T25/Complete!T$13*100</f>
        <v>125.85625796330984</v>
      </c>
      <c r="E15">
        <f>Complete!AC25/Complete!AC$13*100</f>
        <v>138.36879347321678</v>
      </c>
      <c r="F15">
        <f>Complete!AL17/Complete!AL$5*100</f>
        <v>120.22664289263329</v>
      </c>
      <c r="H15" s="115" t="s">
        <v>63</v>
      </c>
      <c r="I15" s="114">
        <f>Complete!C21/Complete!C$9*100</f>
        <v>146.57297075402062</v>
      </c>
      <c r="J15">
        <f>Complete!L24/Complete!L$12*100</f>
        <v>177.85471568111225</v>
      </c>
      <c r="K15">
        <f>Complete!U25/Complete!U$13*100</f>
        <v>152.6515828614825</v>
      </c>
      <c r="L15">
        <f>Complete!AD25/Complete!AD$13*100</f>
        <v>162.58785548502044</v>
      </c>
      <c r="M15">
        <f>Complete!AM17/Complete!AM$5*100</f>
        <v>148.42380296774081</v>
      </c>
      <c r="O15" t="s">
        <v>63</v>
      </c>
      <c r="P15" s="114">
        <f>Complete!D21/Complete!D$9*100</f>
        <v>141.07243253031299</v>
      </c>
      <c r="Q15">
        <f>Complete!M24/Complete!M$12*100</f>
        <v>120.3196450218544</v>
      </c>
      <c r="R15">
        <f>Complete!V25/Complete!V$13*100</f>
        <v>141.75289317914209</v>
      </c>
      <c r="S15">
        <f>Complete!AE25/Complete!AE$13*100</f>
        <v>118.23767055434904</v>
      </c>
      <c r="T15">
        <f>Complete!AM17/Complete!AM$5*100</f>
        <v>148.42380296774081</v>
      </c>
      <c r="V15" t="s">
        <v>63</v>
      </c>
      <c r="W15" s="114">
        <f>Complete!G21/Complete!G20*100</f>
        <v>103.3672353222584</v>
      </c>
      <c r="X15">
        <f>Complete!P24/Complete!P$12*100</f>
        <v>119.06168768439267</v>
      </c>
      <c r="Y15">
        <f>Complete!Y25/Complete!Y$13*100</f>
        <v>194.87368251736856</v>
      </c>
      <c r="Z15">
        <f>Complete!AH25/Complete!AH$13*100</f>
        <v>223.76466711721184</v>
      </c>
      <c r="AA15">
        <f>Complete!AQ17/Complete!AQ$5*100</f>
        <v>65.206190585333516</v>
      </c>
      <c r="AD15" s="114"/>
      <c r="AE15" s="105"/>
      <c r="AF15" s="116"/>
      <c r="AG15" s="116"/>
      <c r="AH15" s="116"/>
      <c r="AI15" s="116"/>
    </row>
    <row r="16" spans="1:35" x14ac:dyDescent="0.45">
      <c r="A16" t="s">
        <v>62</v>
      </c>
      <c r="B16" s="114">
        <f>Complete!B22/Complete!B$9*100</f>
        <v>131.15572534226533</v>
      </c>
      <c r="C16">
        <f>Complete!F25/Complete!F$12*100</f>
        <v>215.48821050127472</v>
      </c>
      <c r="D16">
        <f>Complete!T26/Complete!T$13*100</f>
        <v>126.57853216205608</v>
      </c>
      <c r="E16">
        <f>Complete!AC26/Complete!AC$13*100</f>
        <v>142.94315558745282</v>
      </c>
      <c r="F16">
        <f>Complete!AL18/Complete!AL$5*100</f>
        <v>114.73585703960023</v>
      </c>
      <c r="H16" s="115" t="s">
        <v>62</v>
      </c>
      <c r="I16" s="114">
        <f>Complete!C22/Complete!C$9*100</f>
        <v>150.09852979850928</v>
      </c>
      <c r="J16">
        <f>Complete!L25/Complete!L$12*100</f>
        <v>185.43826799828634</v>
      </c>
      <c r="K16">
        <f>Complete!U26/Complete!U$13*100</f>
        <v>156.26697010928356</v>
      </c>
      <c r="L16">
        <f>Complete!AD26/Complete!AD$13*100</f>
        <v>170.11763146802821</v>
      </c>
      <c r="M16">
        <f>Complete!AM18/Complete!AM$5*100</f>
        <v>143.67069266694276</v>
      </c>
      <c r="O16" t="s">
        <v>62</v>
      </c>
      <c r="P16" s="114">
        <f>Complete!D22/Complete!D$9*100</f>
        <v>148.42709237226589</v>
      </c>
      <c r="Q16">
        <f>Complete!M25/Complete!M$12*100</f>
        <v>122.45046174811958</v>
      </c>
      <c r="R16">
        <f>Complete!V26/Complete!V$13*100</f>
        <v>140.98685780332886</v>
      </c>
      <c r="S16">
        <f>Complete!AE26/Complete!AE$13*100</f>
        <v>120.57235549927989</v>
      </c>
      <c r="T16">
        <f>Complete!AM18/Complete!AM$5*100</f>
        <v>143.67069266694276</v>
      </c>
      <c r="V16" t="s">
        <v>62</v>
      </c>
      <c r="W16" s="114">
        <f>Complete!G22/Complete!G21*100</f>
        <v>109.50166447958476</v>
      </c>
      <c r="X16">
        <f>Complete!P25/Complete!P$12*100</f>
        <v>126.36407802295268</v>
      </c>
      <c r="Y16">
        <f>Complete!Y26/Complete!Y$13*100</f>
        <v>205.84020671643711</v>
      </c>
      <c r="Z16">
        <f>Complete!AH26/Complete!AH$13*100</f>
        <v>240.23532245736891</v>
      </c>
      <c r="AA16">
        <f>Complete!AQ18/Complete!AQ$5*100</f>
        <v>78.413951589830432</v>
      </c>
      <c r="AD16" s="114"/>
      <c r="AE16" s="105"/>
      <c r="AF16" s="116"/>
      <c r="AG16" s="116"/>
      <c r="AH16" s="116"/>
      <c r="AI16" s="116"/>
    </row>
    <row r="17" spans="1:35" x14ac:dyDescent="0.45">
      <c r="A17" t="s">
        <v>64</v>
      </c>
      <c r="B17" s="114">
        <f>Complete!B23/Complete!B$9*100</f>
        <v>126.53638253565968</v>
      </c>
      <c r="C17">
        <f>Complete!F26/Complete!F$12*100</f>
        <v>203.12559560392725</v>
      </c>
      <c r="D17">
        <f>Complete!T27/Complete!T$13*100</f>
        <v>125.96666384408583</v>
      </c>
      <c r="E17">
        <f>Complete!AC27/Complete!AC$13*100</f>
        <v>135.58363413198032</v>
      </c>
      <c r="F17">
        <f>Complete!AL19/Complete!AL$5*100</f>
        <v>111.40251018863643</v>
      </c>
      <c r="H17" s="115" t="s">
        <v>64</v>
      </c>
      <c r="I17" s="114">
        <f>Complete!C23/Complete!C$9*100</f>
        <v>146.32712890734874</v>
      </c>
      <c r="J17">
        <f>Complete!L26/Complete!L$12*100</f>
        <v>193.21781102474543</v>
      </c>
      <c r="K17">
        <f>Complete!U27/Complete!U$13*100</f>
        <v>158.28171284741347</v>
      </c>
      <c r="L17">
        <f>Complete!AD27/Complete!AD$13*100</f>
        <v>163.39734257059084</v>
      </c>
      <c r="M17">
        <f>Complete!AM19/Complete!AM$5*100</f>
        <v>141.53177172046418</v>
      </c>
      <c r="O17" t="s">
        <v>64</v>
      </c>
      <c r="P17" s="114">
        <f>Complete!D23/Complete!D$9*100</f>
        <v>142.76695261821988</v>
      </c>
      <c r="Q17">
        <f>Complete!M26/Complete!M$12*100</f>
        <v>124.7030118269665</v>
      </c>
      <c r="R17">
        <f>Complete!V27/Complete!V$13*100</f>
        <v>139.52892207008531</v>
      </c>
      <c r="S17">
        <f>Complete!AE27/Complete!AE$13*100</f>
        <v>116.35890426144748</v>
      </c>
      <c r="T17">
        <f>Complete!AM19/Complete!AM$5*100</f>
        <v>141.53177172046418</v>
      </c>
      <c r="V17" t="s">
        <v>64</v>
      </c>
      <c r="W17" s="114">
        <f>Complete!G23/Complete!G22*100</f>
        <v>102.0331912803649</v>
      </c>
      <c r="X17">
        <f>Complete!P26/Complete!P$12*100</f>
        <v>132.84673263626817</v>
      </c>
      <c r="Y17">
        <f>Complete!Y27/Complete!Y$13*100</f>
        <v>212.40454636986397</v>
      </c>
      <c r="Z17">
        <f>Complete!AH27/Complete!AH$13*100</f>
        <v>243.62592496912185</v>
      </c>
      <c r="AA17">
        <f>Complete!AQ19/Complete!AQ$5*100</f>
        <v>71.727191129307954</v>
      </c>
      <c r="AD17" s="114"/>
      <c r="AE17" s="105"/>
      <c r="AF17" s="116"/>
      <c r="AG17" s="116"/>
      <c r="AH17" s="116"/>
      <c r="AI17" s="116"/>
    </row>
    <row r="18" spans="1:35" x14ac:dyDescent="0.45">
      <c r="A18" t="s">
        <v>65</v>
      </c>
      <c r="B18" s="114">
        <f>Complete!B24/Complete!B$9*100</f>
        <v>128.67079359307542</v>
      </c>
      <c r="C18">
        <f>Complete!F27/Complete!F$12*100</f>
        <v>182.94423374545283</v>
      </c>
      <c r="D18">
        <f>Complete!T28/Complete!T$13*100</f>
        <v>123.93561215530846</v>
      </c>
      <c r="E18">
        <f>Complete!AC28/Complete!AC$13*100</f>
        <v>128.73158781183409</v>
      </c>
      <c r="F18">
        <f>Complete!AL20/Complete!AL$5*100</f>
        <v>114.25569368697171</v>
      </c>
      <c r="H18" s="115" t="s">
        <v>65</v>
      </c>
      <c r="I18" s="114">
        <f>Complete!C24/Complete!C$9*100</f>
        <v>150.32355997911998</v>
      </c>
      <c r="J18">
        <f>Complete!L27/Complete!L$12*100</f>
        <v>201.37863127299536</v>
      </c>
      <c r="K18">
        <f>Complete!U28/Complete!U$13*100</f>
        <v>158.36672470287115</v>
      </c>
      <c r="L18">
        <f>Complete!AD28/Complete!AD$13*100</f>
        <v>157.05928692249503</v>
      </c>
      <c r="M18">
        <f>Complete!AM20/Complete!AM$5*100</f>
        <v>147.44285214018058</v>
      </c>
      <c r="O18" t="s">
        <v>65</v>
      </c>
      <c r="P18" s="114">
        <f>Complete!D24/Complete!D$9*100</f>
        <v>143.18389134673978</v>
      </c>
      <c r="Q18">
        <f>Complete!M27/Complete!M$12*100</f>
        <v>126.82213636609833</v>
      </c>
      <c r="R18">
        <f>Complete!V28/Complete!V$13*100</f>
        <v>138.28304941090551</v>
      </c>
      <c r="S18">
        <f>Complete!AE28/Complete!AE$13*100</f>
        <v>111.70297150343977</v>
      </c>
      <c r="T18">
        <f>Complete!AM20/Complete!AM$5*100</f>
        <v>147.44285214018058</v>
      </c>
      <c r="V18" t="s">
        <v>65</v>
      </c>
      <c r="W18" s="114">
        <f>Complete!G24/Complete!G23*100</f>
        <v>110.19425406191165</v>
      </c>
      <c r="X18">
        <f>Complete!P27/Complete!P$12*100</f>
        <v>139.1776606192214</v>
      </c>
      <c r="Y18">
        <f>Complete!Y28/Complete!Y$13*100</f>
        <v>210.19251062003673</v>
      </c>
      <c r="Z18">
        <f>Complete!AH28/Complete!AH$13*100</f>
        <v>244.33597061333393</v>
      </c>
      <c r="AA18">
        <f>Complete!AQ20/Complete!AQ$5*100</f>
        <v>78.782340893243813</v>
      </c>
      <c r="AD18" s="114"/>
      <c r="AE18" s="105"/>
      <c r="AF18" s="116"/>
      <c r="AG18" s="116"/>
      <c r="AH18" s="116"/>
      <c r="AI18" s="116"/>
    </row>
    <row r="19" spans="1:35" x14ac:dyDescent="0.45">
      <c r="A19" t="s">
        <v>66</v>
      </c>
      <c r="B19" s="114">
        <f>Complete!B25/Complete!B$9*100</f>
        <v>124.73998429302313</v>
      </c>
      <c r="C19">
        <f>Complete!F28/Complete!F$12*100</f>
        <v>180.22162542732437</v>
      </c>
      <c r="F19">
        <f>Complete!AL21/Complete!AL$5*100</f>
        <v>118.73954541137503</v>
      </c>
      <c r="H19" s="115" t="s">
        <v>66</v>
      </c>
      <c r="I19" s="114">
        <f>Complete!C25/Complete!C$9*100</f>
        <v>147.1963323433705</v>
      </c>
      <c r="J19">
        <f>Complete!L28/Complete!L$12*100</f>
        <v>205.84257821052714</v>
      </c>
      <c r="M19">
        <f>Complete!AM21/Complete!AM$5*100</f>
        <v>155.73782482427271</v>
      </c>
      <c r="O19" t="s">
        <v>66</v>
      </c>
      <c r="P19" s="114">
        <f>Complete!D25/Complete!D$9*100</f>
        <v>141.13838203245501</v>
      </c>
      <c r="Q19">
        <f>Complete!M28/Complete!M$12*100</f>
        <v>126.33620846458022</v>
      </c>
      <c r="T19">
        <f>Complete!AM21/Complete!AM$5*100</f>
        <v>155.73782482427271</v>
      </c>
      <c r="V19" t="s">
        <v>66</v>
      </c>
      <c r="W19" s="114">
        <f>Complete!G25/Complete!G24*100</f>
        <v>97.652213228119351</v>
      </c>
      <c r="X19">
        <f>Complete!P28/Complete!P$12*100</f>
        <v>144.99751254666205</v>
      </c>
      <c r="AA19">
        <f>Complete!AQ21/Complete!AQ$5*100</f>
        <v>82.461283805020031</v>
      </c>
      <c r="AD19" s="114"/>
      <c r="AE19" s="105"/>
      <c r="AH19" s="116"/>
      <c r="AI19" s="116"/>
    </row>
    <row r="20" spans="1:35" x14ac:dyDescent="0.45">
      <c r="A20" t="s">
        <v>67</v>
      </c>
      <c r="B20" s="114">
        <f>Complete!B26/Complete!B$9*100</f>
        <v>126.81925795463724</v>
      </c>
      <c r="F20">
        <f>Complete!AL22/Complete!AL$5*100</f>
        <v>118.63648486147031</v>
      </c>
      <c r="H20" s="115" t="s">
        <v>67</v>
      </c>
      <c r="I20" s="114">
        <f>Complete!C26/Complete!C$9*100</f>
        <v>151.1243980620487</v>
      </c>
      <c r="M20">
        <f>Complete!AM22/Complete!AM$5*100</f>
        <v>157.82958730788883</v>
      </c>
      <c r="O20" t="s">
        <v>67</v>
      </c>
      <c r="P20" s="114">
        <f>Complete!D26/Complete!D$9*100</f>
        <v>142.65902144497312</v>
      </c>
      <c r="T20">
        <f>Complete!AM22/Complete!AM$5*100</f>
        <v>157.82958730788883</v>
      </c>
      <c r="V20" t="s">
        <v>67</v>
      </c>
      <c r="W20" s="114">
        <f>Complete!G26/Complete!G25*100</f>
        <v>79.290585657653594</v>
      </c>
      <c r="AA20">
        <f>Complete!AQ22/Complete!AQ$5*100</f>
        <v>94.338281448273051</v>
      </c>
      <c r="AD20" s="114"/>
      <c r="AH20" s="116"/>
      <c r="AI20" s="116"/>
    </row>
    <row r="21" spans="1:35" x14ac:dyDescent="0.45">
      <c r="A21" t="s">
        <v>68</v>
      </c>
      <c r="B21" s="114">
        <f>Complete!B27/Complete!B$9*100</f>
        <v>122.4897982808353</v>
      </c>
      <c r="F21">
        <f>Complete!AL23/Complete!AL$5*100</f>
        <v>113.0222438811211</v>
      </c>
      <c r="H21" s="115" t="s">
        <v>68</v>
      </c>
      <c r="I21" s="114">
        <f>Complete!C27/Complete!C$9*100</f>
        <v>147.37380883694934</v>
      </c>
      <c r="M21">
        <f>Complete!AM23/Complete!AM$5*100</f>
        <v>151.68304946287986</v>
      </c>
      <c r="O21" t="s">
        <v>68</v>
      </c>
      <c r="P21" s="114">
        <f>Complete!D27/Complete!D$9*100</f>
        <v>138.41785715444087</v>
      </c>
      <c r="T21">
        <f>Complete!AM23/Complete!AM$5*100</f>
        <v>151.68304946287986</v>
      </c>
      <c r="V21" t="s">
        <v>68</v>
      </c>
      <c r="W21" s="114">
        <f>Complete!G27/Complete!G26*100</f>
        <v>94.98434187709519</v>
      </c>
      <c r="AA21">
        <f>Complete!AQ23/Complete!AQ$5*100</f>
        <v>105.97341049396786</v>
      </c>
      <c r="AD21" s="114"/>
      <c r="AI21" s="116"/>
    </row>
    <row r="22" spans="1:35" x14ac:dyDescent="0.45">
      <c r="A22" t="s">
        <v>69</v>
      </c>
      <c r="B22" s="114">
        <f>Complete!B28/Complete!B$9*100</f>
        <v>118.71767531714252</v>
      </c>
      <c r="F22">
        <f>Complete!AL24/Complete!AL$5*100</f>
        <v>105.85379015581849</v>
      </c>
      <c r="H22" s="115" t="s">
        <v>69</v>
      </c>
      <c r="I22" s="114">
        <f>Complete!C28/Complete!C$9*100</f>
        <v>144.18617841186389</v>
      </c>
      <c r="M22">
        <f>Complete!AM24/Complete!AM$5*100</f>
        <v>142.2462878884113</v>
      </c>
      <c r="O22" t="s">
        <v>69</v>
      </c>
      <c r="P22" s="114">
        <f>Complete!D28/Complete!D$9*100</f>
        <v>132.09040338580959</v>
      </c>
      <c r="T22">
        <f>Complete!AM24/Complete!AM$5*100</f>
        <v>142.2462878884113</v>
      </c>
      <c r="V22" t="s">
        <v>69</v>
      </c>
      <c r="W22" s="114">
        <f>Complete!G28/Complete!G27*100</f>
        <v>101.18461482533441</v>
      </c>
      <c r="AA22">
        <f>Complete!AQ24/Complete!AQ$5*100</f>
        <v>92.056564647385699</v>
      </c>
      <c r="AD22" s="114"/>
      <c r="AI22" s="116"/>
    </row>
    <row r="23" spans="1:35" x14ac:dyDescent="0.45">
      <c r="A23" t="s">
        <v>70</v>
      </c>
      <c r="B23" s="114"/>
      <c r="F23">
        <f>Complete!AL25/Complete!AL$5*100</f>
        <v>88.494242618460817</v>
      </c>
      <c r="H23" s="115" t="s">
        <v>70</v>
      </c>
      <c r="I23" s="114"/>
      <c r="M23">
        <f>Complete!AM25/Complete!AM$5*100</f>
        <v>118.00703586608124</v>
      </c>
      <c r="O23" t="s">
        <v>70</v>
      </c>
      <c r="P23" s="114"/>
      <c r="T23">
        <f>Complete!AM25/Complete!AM$5*100</f>
        <v>118.00703586608124</v>
      </c>
      <c r="V23" t="s">
        <v>70</v>
      </c>
      <c r="W23" s="114"/>
      <c r="AA23">
        <f>Complete!AQ25/Complete!AQ$5*100</f>
        <v>100.61760713113514</v>
      </c>
      <c r="AD23" s="114"/>
    </row>
    <row r="24" spans="1:35" x14ac:dyDescent="0.45">
      <c r="A24" t="s">
        <v>71</v>
      </c>
      <c r="B24" s="114"/>
      <c r="F24">
        <f>Complete!AL26/Complete!AL$5*100</f>
        <v>75.764973339985914</v>
      </c>
      <c r="H24" s="115" t="s">
        <v>71</v>
      </c>
      <c r="I24" s="114"/>
      <c r="M24">
        <f>Complete!AM26/Complete!AM$5*100</f>
        <v>99.513680254509566</v>
      </c>
      <c r="O24" t="s">
        <v>71</v>
      </c>
      <c r="P24" s="114"/>
      <c r="T24">
        <f>Complete!AM26/Complete!AM$5*100</f>
        <v>99.513680254509566</v>
      </c>
      <c r="V24" t="s">
        <v>71</v>
      </c>
      <c r="W24" s="114"/>
      <c r="AA24">
        <f>Complete!AQ26/Complete!AQ$5*100</f>
        <v>80.99313425846411</v>
      </c>
      <c r="AD24" s="114"/>
    </row>
    <row r="25" spans="1:35" x14ac:dyDescent="0.45">
      <c r="A25" t="s">
        <v>72</v>
      </c>
      <c r="B25" s="114"/>
      <c r="F25">
        <f>Complete!AL27/Complete!AL$5*100</f>
        <v>61.985259580565987</v>
      </c>
      <c r="H25" s="115" t="s">
        <v>72</v>
      </c>
      <c r="I25" s="114"/>
      <c r="M25">
        <f>Complete!AM27/Complete!AM$5*100</f>
        <v>79.987648684065022</v>
      </c>
      <c r="O25" t="s">
        <v>72</v>
      </c>
      <c r="P25" s="114"/>
    </row>
    <row r="26" spans="1:35" x14ac:dyDescent="0.45">
      <c r="A26" t="s">
        <v>73</v>
      </c>
      <c r="B26" s="114"/>
      <c r="F26">
        <f>Complete!AL28/Complete!AL$5*100</f>
        <v>40.815016422386499</v>
      </c>
      <c r="H26" s="115" t="s">
        <v>73</v>
      </c>
      <c r="I26" s="114"/>
      <c r="M26">
        <f>Complete!AM28/Complete!AM$5*100</f>
        <v>51.99196936130803</v>
      </c>
      <c r="O26" t="s">
        <v>73</v>
      </c>
      <c r="P26" s="114"/>
    </row>
    <row r="27" spans="1:35" x14ac:dyDescent="0.45">
      <c r="A27" t="s">
        <v>74</v>
      </c>
      <c r="B27" s="114"/>
      <c r="H27" s="115" t="s">
        <v>74</v>
      </c>
      <c r="I27" s="114"/>
      <c r="O27" t="s">
        <v>74</v>
      </c>
      <c r="P27" s="114"/>
    </row>
  </sheetData>
  <mergeCells count="5">
    <mergeCell ref="W1:AA1"/>
    <mergeCell ref="AD1:AH1"/>
    <mergeCell ref="P1:T1"/>
    <mergeCell ref="B1:F1"/>
    <mergeCell ref="I1:M1"/>
  </mergeCells>
  <phoneticPr fontId="1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</vt:lpstr>
      <vt:lpstr>NX ENERGY</vt:lpstr>
      <vt:lpstr>Variables</vt:lpstr>
      <vt:lpstr>D&amp;E</vt:lpstr>
      <vt:lpstr>Complete</vt:lpstr>
      <vt:lpstr>ARG</vt:lpstr>
      <vt:lpstr>ECU</vt:lpstr>
      <vt:lpstr>Comparisons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Cachanosky</dc:creator>
  <cp:lastModifiedBy>Nicolas Cachanosky</cp:lastModifiedBy>
  <dcterms:created xsi:type="dcterms:W3CDTF">2022-01-15T01:19:12Z</dcterms:created>
  <dcterms:modified xsi:type="dcterms:W3CDTF">2022-03-10T21:45:25Z</dcterms:modified>
</cp:coreProperties>
</file>