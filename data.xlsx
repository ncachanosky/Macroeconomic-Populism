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226" documentId="8_{374FA53E-6371-4DC4-9463-D8571967F61A}" xr6:coauthVersionLast="47" xr6:coauthVersionMax="47" xr10:uidLastSave="{58A8D534-5F2D-4709-8302-5AE3E2358539}"/>
  <bookViews>
    <workbookView xWindow="-98" yWindow="-98" windowWidth="22695" windowHeight="14476" activeTab="7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ECU" sheetId="8" r:id="rId7"/>
    <sheet name="VEN" sheetId="9" r:id="rId8"/>
    <sheet name="Comparisons" sheetId="5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gQtzz8o/ekF5C1+UTtVg+13osixw=="/>
    </ext>
  </extLst>
</workbook>
</file>

<file path=xl/calcChain.xml><?xml version="1.0" encoding="utf-8"?>
<calcChain xmlns="http://schemas.openxmlformats.org/spreadsheetml/2006/main">
  <c r="I12" i="9" l="1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" i="9"/>
  <c r="G16" i="9"/>
  <c r="G17" i="9"/>
  <c r="G18" i="9"/>
  <c r="G19" i="9"/>
  <c r="G20" i="9"/>
  <c r="G21" i="9"/>
  <c r="G22" i="9"/>
  <c r="G2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M5" i="9"/>
  <c r="N6" i="9" s="1"/>
  <c r="O4" i="9"/>
  <c r="N4" i="9"/>
  <c r="O3" i="9"/>
  <c r="N3" i="9"/>
  <c r="O7" i="7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N5" i="9" l="1"/>
  <c r="O6" i="9"/>
  <c r="O5" i="9"/>
  <c r="B3" i="8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<sst xmlns="http://schemas.openxmlformats.org/spreadsheetml/2006/main" count="426" uniqueCount="92">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</sst>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4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0" applyNumberFormat="1" applyFont="1" applyAlignment="1"/>
    <xf numFmtId="0" fontId="9" fillId="0" borderId="0" xfId="0" applyFont="1" applyAlignment="1">
      <alignment horizontal="right"/>
    </xf>
    <xf numFmtId="0" fontId="0" fillId="5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6" borderId="5" xfId="0" applyFont="1" applyFill="1" applyBorder="1" applyAlignment="1">
      <alignment horizontal="center"/>
    </xf>
    <xf numFmtId="0" fontId="4" fillId="0" borderId="8" xfId="0" applyFont="1" applyBorder="1"/>
    <xf numFmtId="0" fontId="0" fillId="7" borderId="9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BS2" activePane="bottomRight" state="frozen"/>
      <selection pane="topRight" activeCell="B1" sqref="B1"/>
      <selection pane="bottomLeft" activeCell="A2" sqref="A2"/>
      <selection pane="bottomRight" activeCell="BV4" sqref="BV4"/>
    </sheetView>
  </sheetViews>
  <sheetFormatPr defaultColWidth="14.3984375" defaultRowHeight="15" customHeight="1" x14ac:dyDescent="0.45"/>
  <cols>
    <col min="1" max="1" width="9" customWidth="1"/>
    <col min="2" max="48" width="15.73046875" customWidth="1"/>
    <col min="49" max="49" width="18.265625" customWidth="1"/>
    <col min="50" max="56" width="15.73046875" customWidth="1"/>
    <col min="57" max="57" width="18.265625" customWidth="1"/>
    <col min="58" max="64" width="15.73046875" customWidth="1"/>
    <col min="65" max="65" width="17.265625" customWidth="1"/>
    <col min="66" max="72" width="15.73046875" customWidth="1"/>
    <col min="73" max="73" width="17.265625" customWidth="1"/>
    <col min="74" max="80" width="15.73046875" customWidth="1"/>
    <col min="81" max="81" width="18.265625" customWidth="1"/>
    <col min="82" max="88" width="8.86328125" customWidth="1"/>
  </cols>
  <sheetData>
    <row r="1" spans="1:88" ht="15.75" x14ac:dyDescent="0.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ht="14.25" x14ac:dyDescent="0.45">
      <c r="A2" s="6"/>
      <c r="B2" s="128" t="s">
        <v>2</v>
      </c>
      <c r="C2" s="129"/>
      <c r="D2" s="129"/>
      <c r="E2" s="129"/>
      <c r="F2" s="129"/>
      <c r="G2" s="129"/>
      <c r="H2" s="129"/>
      <c r="I2" s="130"/>
      <c r="J2" s="131" t="s">
        <v>3</v>
      </c>
      <c r="K2" s="129"/>
      <c r="L2" s="129"/>
      <c r="M2" s="129"/>
      <c r="N2" s="129"/>
      <c r="O2" s="129"/>
      <c r="P2" s="129"/>
      <c r="Q2" s="132"/>
      <c r="R2" s="133" t="s">
        <v>4</v>
      </c>
      <c r="S2" s="129"/>
      <c r="T2" s="129"/>
      <c r="U2" s="129"/>
      <c r="V2" s="129"/>
      <c r="W2" s="129"/>
      <c r="X2" s="129"/>
      <c r="Y2" s="130"/>
      <c r="Z2" s="134" t="s">
        <v>5</v>
      </c>
      <c r="AA2" s="129"/>
      <c r="AB2" s="129"/>
      <c r="AC2" s="129"/>
      <c r="AD2" s="129"/>
      <c r="AE2" s="129"/>
      <c r="AF2" s="129"/>
      <c r="AG2" s="132"/>
      <c r="AH2" s="135" t="s">
        <v>6</v>
      </c>
      <c r="AI2" s="129"/>
      <c r="AJ2" s="129"/>
      <c r="AK2" s="129"/>
      <c r="AL2" s="129"/>
      <c r="AM2" s="129"/>
      <c r="AN2" s="129"/>
      <c r="AO2" s="136"/>
      <c r="AP2" s="128" t="s">
        <v>2</v>
      </c>
      <c r="AQ2" s="129"/>
      <c r="AR2" s="129"/>
      <c r="AS2" s="129"/>
      <c r="AT2" s="129"/>
      <c r="AU2" s="129"/>
      <c r="AV2" s="129"/>
      <c r="AW2" s="130"/>
      <c r="AX2" s="131" t="s">
        <v>3</v>
      </c>
      <c r="AY2" s="129"/>
      <c r="AZ2" s="129"/>
      <c r="BA2" s="129"/>
      <c r="BB2" s="129"/>
      <c r="BC2" s="129"/>
      <c r="BD2" s="129"/>
      <c r="BE2" s="132"/>
      <c r="BF2" s="133" t="s">
        <v>4</v>
      </c>
      <c r="BG2" s="129"/>
      <c r="BH2" s="129"/>
      <c r="BI2" s="129"/>
      <c r="BJ2" s="129"/>
      <c r="BK2" s="129"/>
      <c r="BL2" s="129"/>
      <c r="BM2" s="130"/>
      <c r="BN2" s="134" t="s">
        <v>5</v>
      </c>
      <c r="BO2" s="129"/>
      <c r="BP2" s="129"/>
      <c r="BQ2" s="129"/>
      <c r="BR2" s="129"/>
      <c r="BS2" s="129"/>
      <c r="BT2" s="129"/>
      <c r="BU2" s="132"/>
      <c r="BV2" s="135" t="s">
        <v>6</v>
      </c>
      <c r="BW2" s="129"/>
      <c r="BX2" s="129"/>
      <c r="BY2" s="129"/>
      <c r="BZ2" s="129"/>
      <c r="CA2" s="129"/>
      <c r="CB2" s="129"/>
      <c r="CC2" s="136"/>
      <c r="CH2" s="7"/>
      <c r="CI2" s="7"/>
      <c r="CJ2" s="7"/>
    </row>
    <row r="3" spans="1:88" ht="57" x14ac:dyDescent="0.4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28.5" x14ac:dyDescent="0.4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ht="14.25" x14ac:dyDescent="0.4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ht="14.25" x14ac:dyDescent="0.4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ht="14.25" x14ac:dyDescent="0.4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ht="14.25" x14ac:dyDescent="0.4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ht="14.25" x14ac:dyDescent="0.4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ht="14.25" x14ac:dyDescent="0.4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ht="14.25" x14ac:dyDescent="0.4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ht="14.25" x14ac:dyDescent="0.4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ht="14.25" x14ac:dyDescent="0.4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ht="14.25" x14ac:dyDescent="0.4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ht="14.25" x14ac:dyDescent="0.4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ht="14.25" x14ac:dyDescent="0.4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ht="14.25" x14ac:dyDescent="0.4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ht="14.25" x14ac:dyDescent="0.4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ht="14.25" x14ac:dyDescent="0.4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ht="14.25" x14ac:dyDescent="0.4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4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4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4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4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4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4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4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4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4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4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45">
      <c r="A31" s="92"/>
      <c r="BD31" s="93"/>
    </row>
    <row r="32" spans="1:81" ht="15.75" customHeight="1" x14ac:dyDescent="0.45">
      <c r="A32" s="92"/>
      <c r="BD32" s="93"/>
    </row>
    <row r="33" spans="1:76" ht="15.75" customHeight="1" x14ac:dyDescent="0.45">
      <c r="A33" s="92"/>
      <c r="BD33" s="93"/>
    </row>
    <row r="34" spans="1:76" ht="15.75" customHeight="1" x14ac:dyDescent="0.45">
      <c r="A34" s="92"/>
    </row>
    <row r="35" spans="1:76" ht="15.75" customHeight="1" x14ac:dyDescent="0.45">
      <c r="A35" s="92"/>
    </row>
    <row r="36" spans="1:76" ht="15.75" customHeight="1" x14ac:dyDescent="0.45">
      <c r="A36" s="92"/>
    </row>
    <row r="37" spans="1:76" ht="15.75" customHeight="1" x14ac:dyDescent="0.45">
      <c r="A37" s="92"/>
    </row>
    <row r="38" spans="1:76" ht="15.75" customHeight="1" x14ac:dyDescent="0.45">
      <c r="A38" s="92"/>
      <c r="BU38" s="93"/>
      <c r="BV38" s="93"/>
      <c r="BW38" s="93"/>
      <c r="BX38" s="93"/>
    </row>
    <row r="39" spans="1:76" ht="15.75" customHeight="1" x14ac:dyDescent="0.45">
      <c r="A39" s="92"/>
      <c r="BU39" s="93"/>
      <c r="BV39" s="93"/>
      <c r="BW39" s="93"/>
      <c r="BX39" s="93"/>
    </row>
    <row r="40" spans="1:76" ht="15.75" customHeight="1" x14ac:dyDescent="0.45">
      <c r="A40" s="92"/>
      <c r="BU40" s="93"/>
      <c r="BV40" s="93"/>
      <c r="BW40" s="93"/>
      <c r="BX40" s="93"/>
    </row>
    <row r="41" spans="1:76" ht="15.75" customHeight="1" x14ac:dyDescent="0.45">
      <c r="A41" s="92"/>
      <c r="BU41" s="93"/>
      <c r="BV41" s="93"/>
      <c r="BW41" s="93"/>
      <c r="BX41" s="93"/>
    </row>
    <row r="42" spans="1:76" ht="15.75" customHeight="1" x14ac:dyDescent="0.45">
      <c r="A42" s="92"/>
      <c r="BU42" s="93"/>
      <c r="BV42" s="93"/>
      <c r="BW42" s="93"/>
      <c r="BX42" s="93"/>
    </row>
    <row r="43" spans="1:76" ht="15.75" customHeight="1" x14ac:dyDescent="0.45">
      <c r="A43" s="92"/>
    </row>
    <row r="44" spans="1:76" ht="15.75" customHeight="1" x14ac:dyDescent="0.45">
      <c r="A44" s="92"/>
    </row>
    <row r="45" spans="1:76" ht="15.75" customHeight="1" x14ac:dyDescent="0.45">
      <c r="A45" s="92"/>
    </row>
    <row r="46" spans="1:76" ht="15.75" customHeight="1" x14ac:dyDescent="0.45">
      <c r="A46" s="92"/>
    </row>
    <row r="47" spans="1:76" ht="15.75" customHeight="1" x14ac:dyDescent="0.45">
      <c r="A47" s="92"/>
    </row>
    <row r="48" spans="1:76" ht="15.75" customHeight="1" x14ac:dyDescent="0.45">
      <c r="A48" s="92"/>
    </row>
    <row r="49" spans="1:1" ht="15.75" customHeight="1" x14ac:dyDescent="0.45">
      <c r="A49" s="92"/>
    </row>
    <row r="50" spans="1:1" ht="15.75" customHeight="1" x14ac:dyDescent="0.45">
      <c r="A50" s="92"/>
    </row>
    <row r="51" spans="1:1" ht="15.75" customHeight="1" x14ac:dyDescent="0.45">
      <c r="A51" s="92"/>
    </row>
    <row r="52" spans="1:1" ht="15.75" customHeight="1" x14ac:dyDescent="0.45">
      <c r="A52" s="92"/>
    </row>
    <row r="53" spans="1:1" ht="15.75" customHeight="1" x14ac:dyDescent="0.45">
      <c r="A53" s="92"/>
    </row>
    <row r="54" spans="1:1" ht="15.75" customHeight="1" x14ac:dyDescent="0.45">
      <c r="A54" s="92"/>
    </row>
    <row r="55" spans="1:1" ht="15.75" customHeight="1" x14ac:dyDescent="0.45">
      <c r="A55" s="92"/>
    </row>
    <row r="56" spans="1:1" ht="15.75" customHeight="1" x14ac:dyDescent="0.45">
      <c r="A56" s="92"/>
    </row>
    <row r="57" spans="1:1" ht="15.75" customHeight="1" x14ac:dyDescent="0.45">
      <c r="A57" s="92"/>
    </row>
    <row r="58" spans="1:1" ht="15.75" customHeight="1" x14ac:dyDescent="0.45">
      <c r="A58" s="92"/>
    </row>
    <row r="59" spans="1:1" ht="15.75" customHeight="1" x14ac:dyDescent="0.45">
      <c r="A59" s="92"/>
    </row>
    <row r="60" spans="1:1" ht="15.75" customHeight="1" x14ac:dyDescent="0.45">
      <c r="A60" s="92"/>
    </row>
    <row r="61" spans="1:1" ht="15.75" customHeight="1" x14ac:dyDescent="0.45">
      <c r="A61" s="92"/>
    </row>
    <row r="62" spans="1:1" ht="15.75" customHeight="1" x14ac:dyDescent="0.45">
      <c r="A62" s="92"/>
    </row>
    <row r="63" spans="1:1" ht="15.75" customHeight="1" x14ac:dyDescent="0.45">
      <c r="A63" s="92"/>
    </row>
    <row r="64" spans="1:1" ht="15.75" customHeight="1" x14ac:dyDescent="0.45">
      <c r="A64" s="92"/>
    </row>
    <row r="65" spans="1:1" ht="15.75" customHeight="1" x14ac:dyDescent="0.45">
      <c r="A65" s="92"/>
    </row>
    <row r="66" spans="1:1" ht="15.75" customHeight="1" x14ac:dyDescent="0.45">
      <c r="A66" s="92"/>
    </row>
    <row r="67" spans="1:1" ht="15.75" customHeight="1" x14ac:dyDescent="0.45">
      <c r="A67" s="92"/>
    </row>
    <row r="68" spans="1:1" ht="15.75" customHeight="1" x14ac:dyDescent="0.45">
      <c r="A68" s="92"/>
    </row>
    <row r="69" spans="1:1" ht="15.75" customHeight="1" x14ac:dyDescent="0.45">
      <c r="A69" s="92"/>
    </row>
    <row r="70" spans="1:1" ht="15.75" customHeight="1" x14ac:dyDescent="0.45">
      <c r="A70" s="92"/>
    </row>
    <row r="71" spans="1:1" ht="15.75" customHeight="1" x14ac:dyDescent="0.45">
      <c r="A71" s="92"/>
    </row>
    <row r="72" spans="1:1" ht="15.75" customHeight="1" x14ac:dyDescent="0.45">
      <c r="A72" s="92"/>
    </row>
    <row r="73" spans="1:1" ht="15.75" customHeight="1" x14ac:dyDescent="0.45">
      <c r="A73" s="92"/>
    </row>
    <row r="74" spans="1:1" ht="15.75" customHeight="1" x14ac:dyDescent="0.45">
      <c r="A74" s="92"/>
    </row>
    <row r="75" spans="1:1" ht="15.75" customHeight="1" x14ac:dyDescent="0.45">
      <c r="A75" s="92"/>
    </row>
    <row r="76" spans="1:1" ht="15.75" customHeight="1" x14ac:dyDescent="0.45">
      <c r="A76" s="92"/>
    </row>
    <row r="77" spans="1:1" ht="15.75" customHeight="1" x14ac:dyDescent="0.45">
      <c r="A77" s="92"/>
    </row>
    <row r="78" spans="1:1" ht="15.75" customHeight="1" x14ac:dyDescent="0.45">
      <c r="A78" s="92"/>
    </row>
    <row r="79" spans="1:1" ht="15.75" customHeight="1" x14ac:dyDescent="0.45">
      <c r="A79" s="92"/>
    </row>
    <row r="80" spans="1:1" ht="15.75" customHeight="1" x14ac:dyDescent="0.45">
      <c r="A80" s="92"/>
    </row>
    <row r="81" spans="1:1" ht="15.75" customHeight="1" x14ac:dyDescent="0.45">
      <c r="A81" s="92"/>
    </row>
    <row r="82" spans="1:1" ht="15.75" customHeight="1" x14ac:dyDescent="0.45">
      <c r="A82" s="92"/>
    </row>
    <row r="83" spans="1:1" ht="15.75" customHeight="1" x14ac:dyDescent="0.45">
      <c r="A83" s="92"/>
    </row>
    <row r="84" spans="1:1" ht="15.75" customHeight="1" x14ac:dyDescent="0.45">
      <c r="A84" s="92"/>
    </row>
    <row r="85" spans="1:1" ht="15.75" customHeight="1" x14ac:dyDescent="0.45">
      <c r="A85" s="92"/>
    </row>
    <row r="86" spans="1:1" ht="15.75" customHeight="1" x14ac:dyDescent="0.45">
      <c r="A86" s="92"/>
    </row>
    <row r="87" spans="1:1" ht="15.75" customHeight="1" x14ac:dyDescent="0.45">
      <c r="A87" s="92"/>
    </row>
    <row r="88" spans="1:1" ht="15.75" customHeight="1" x14ac:dyDescent="0.45">
      <c r="A88" s="92"/>
    </row>
    <row r="89" spans="1:1" ht="15.75" customHeight="1" x14ac:dyDescent="0.45">
      <c r="A89" s="92"/>
    </row>
    <row r="90" spans="1:1" ht="15.75" customHeight="1" x14ac:dyDescent="0.45">
      <c r="A90" s="92"/>
    </row>
    <row r="91" spans="1:1" ht="15.75" customHeight="1" x14ac:dyDescent="0.45">
      <c r="A91" s="92"/>
    </row>
    <row r="92" spans="1:1" ht="15.75" customHeight="1" x14ac:dyDescent="0.45">
      <c r="A92" s="92"/>
    </row>
    <row r="93" spans="1:1" ht="15.75" customHeight="1" x14ac:dyDescent="0.45">
      <c r="A93" s="92"/>
    </row>
    <row r="94" spans="1:1" ht="15.75" customHeight="1" x14ac:dyDescent="0.45">
      <c r="A94" s="92"/>
    </row>
    <row r="95" spans="1:1" ht="15.75" customHeight="1" x14ac:dyDescent="0.45">
      <c r="A95" s="92"/>
    </row>
    <row r="96" spans="1:1" ht="15.75" customHeight="1" x14ac:dyDescent="0.45">
      <c r="A96" s="92"/>
    </row>
    <row r="97" spans="1:1" ht="15.75" customHeight="1" x14ac:dyDescent="0.45">
      <c r="A97" s="92"/>
    </row>
    <row r="98" spans="1:1" ht="15.75" customHeight="1" x14ac:dyDescent="0.45">
      <c r="A98" s="92"/>
    </row>
    <row r="99" spans="1:1" ht="15.75" customHeight="1" x14ac:dyDescent="0.45">
      <c r="A99" s="92"/>
    </row>
    <row r="100" spans="1:1" ht="15.75" customHeight="1" x14ac:dyDescent="0.45">
      <c r="A100" s="92"/>
    </row>
    <row r="101" spans="1:1" ht="15.75" customHeight="1" x14ac:dyDescent="0.45">
      <c r="A101" s="92"/>
    </row>
    <row r="102" spans="1:1" ht="15.75" customHeight="1" x14ac:dyDescent="0.45">
      <c r="A102" s="92"/>
    </row>
    <row r="103" spans="1:1" ht="15.75" customHeight="1" x14ac:dyDescent="0.45">
      <c r="A103" s="92"/>
    </row>
    <row r="104" spans="1:1" ht="15.75" customHeight="1" x14ac:dyDescent="0.45">
      <c r="A104" s="92"/>
    </row>
    <row r="105" spans="1:1" ht="15.75" customHeight="1" x14ac:dyDescent="0.45">
      <c r="A105" s="92"/>
    </row>
    <row r="106" spans="1:1" ht="15.75" customHeight="1" x14ac:dyDescent="0.45">
      <c r="A106" s="92"/>
    </row>
    <row r="107" spans="1:1" ht="15.75" customHeight="1" x14ac:dyDescent="0.45">
      <c r="A107" s="92"/>
    </row>
    <row r="108" spans="1:1" ht="15.75" customHeight="1" x14ac:dyDescent="0.45">
      <c r="A108" s="92"/>
    </row>
    <row r="109" spans="1:1" ht="15.75" customHeight="1" x14ac:dyDescent="0.45">
      <c r="A109" s="92"/>
    </row>
    <row r="110" spans="1:1" ht="15.75" customHeight="1" x14ac:dyDescent="0.45">
      <c r="A110" s="92"/>
    </row>
    <row r="111" spans="1:1" ht="15.75" customHeight="1" x14ac:dyDescent="0.45">
      <c r="A111" s="92"/>
    </row>
    <row r="112" spans="1:1" ht="15.75" customHeight="1" x14ac:dyDescent="0.45">
      <c r="A112" s="92"/>
    </row>
    <row r="113" spans="1:1" ht="15.75" customHeight="1" x14ac:dyDescent="0.45">
      <c r="A113" s="92"/>
    </row>
    <row r="114" spans="1:1" ht="15.75" customHeight="1" x14ac:dyDescent="0.45">
      <c r="A114" s="92"/>
    </row>
    <row r="115" spans="1:1" ht="15.75" customHeight="1" x14ac:dyDescent="0.45">
      <c r="A115" s="92"/>
    </row>
    <row r="116" spans="1:1" ht="15.75" customHeight="1" x14ac:dyDescent="0.45">
      <c r="A116" s="92"/>
    </row>
    <row r="117" spans="1:1" ht="15.75" customHeight="1" x14ac:dyDescent="0.45">
      <c r="A117" s="92"/>
    </row>
    <row r="118" spans="1:1" ht="15.75" customHeight="1" x14ac:dyDescent="0.45">
      <c r="A118" s="92"/>
    </row>
    <row r="119" spans="1:1" ht="15.75" customHeight="1" x14ac:dyDescent="0.45">
      <c r="A119" s="92"/>
    </row>
    <row r="120" spans="1:1" ht="15.75" customHeight="1" x14ac:dyDescent="0.45">
      <c r="A120" s="92"/>
    </row>
    <row r="121" spans="1:1" ht="15.75" customHeight="1" x14ac:dyDescent="0.45">
      <c r="A121" s="92"/>
    </row>
    <row r="122" spans="1:1" ht="15.75" customHeight="1" x14ac:dyDescent="0.45">
      <c r="A122" s="92"/>
    </row>
    <row r="123" spans="1:1" ht="15.75" customHeight="1" x14ac:dyDescent="0.45">
      <c r="A123" s="92"/>
    </row>
    <row r="124" spans="1:1" ht="15.75" customHeight="1" x14ac:dyDescent="0.45">
      <c r="A124" s="92"/>
    </row>
    <row r="125" spans="1:1" ht="15.75" customHeight="1" x14ac:dyDescent="0.45">
      <c r="A125" s="92"/>
    </row>
    <row r="126" spans="1:1" ht="15.75" customHeight="1" x14ac:dyDescent="0.45">
      <c r="A126" s="92"/>
    </row>
    <row r="127" spans="1:1" ht="15.75" customHeight="1" x14ac:dyDescent="0.45">
      <c r="A127" s="92"/>
    </row>
    <row r="128" spans="1:1" ht="15.75" customHeight="1" x14ac:dyDescent="0.45">
      <c r="A128" s="92"/>
    </row>
    <row r="129" spans="1:1" ht="15.75" customHeight="1" x14ac:dyDescent="0.45">
      <c r="A129" s="92"/>
    </row>
    <row r="130" spans="1:1" ht="15.75" customHeight="1" x14ac:dyDescent="0.45">
      <c r="A130" s="92"/>
    </row>
    <row r="131" spans="1:1" ht="15.75" customHeight="1" x14ac:dyDescent="0.45">
      <c r="A131" s="92"/>
    </row>
    <row r="132" spans="1:1" ht="15.75" customHeight="1" x14ac:dyDescent="0.45">
      <c r="A132" s="92"/>
    </row>
    <row r="133" spans="1:1" ht="15.75" customHeight="1" x14ac:dyDescent="0.45">
      <c r="A133" s="92"/>
    </row>
    <row r="134" spans="1:1" ht="15.75" customHeight="1" x14ac:dyDescent="0.45">
      <c r="A134" s="92"/>
    </row>
    <row r="135" spans="1:1" ht="15.75" customHeight="1" x14ac:dyDescent="0.45">
      <c r="A135" s="92"/>
    </row>
    <row r="136" spans="1:1" ht="15.75" customHeight="1" x14ac:dyDescent="0.45">
      <c r="A136" s="92"/>
    </row>
    <row r="137" spans="1:1" ht="15.75" customHeight="1" x14ac:dyDescent="0.45">
      <c r="A137" s="92"/>
    </row>
    <row r="138" spans="1:1" ht="15.75" customHeight="1" x14ac:dyDescent="0.45">
      <c r="A138" s="92"/>
    </row>
    <row r="139" spans="1:1" ht="15.75" customHeight="1" x14ac:dyDescent="0.45">
      <c r="A139" s="92"/>
    </row>
    <row r="140" spans="1:1" ht="15.75" customHeight="1" x14ac:dyDescent="0.45">
      <c r="A140" s="92"/>
    </row>
    <row r="141" spans="1:1" ht="15.75" customHeight="1" x14ac:dyDescent="0.45">
      <c r="A141" s="92"/>
    </row>
    <row r="142" spans="1:1" ht="15.75" customHeight="1" x14ac:dyDescent="0.45">
      <c r="A142" s="92"/>
    </row>
    <row r="143" spans="1:1" ht="15.75" customHeight="1" x14ac:dyDescent="0.45">
      <c r="A143" s="92"/>
    </row>
    <row r="144" spans="1:1" ht="15.75" customHeight="1" x14ac:dyDescent="0.45">
      <c r="A144" s="92"/>
    </row>
    <row r="145" spans="1:1" ht="15.75" customHeight="1" x14ac:dyDescent="0.45">
      <c r="A145" s="92"/>
    </row>
    <row r="146" spans="1:1" ht="15.75" customHeight="1" x14ac:dyDescent="0.45">
      <c r="A146" s="92"/>
    </row>
    <row r="147" spans="1:1" ht="15.75" customHeight="1" x14ac:dyDescent="0.45">
      <c r="A147" s="92"/>
    </row>
    <row r="148" spans="1:1" ht="15.75" customHeight="1" x14ac:dyDescent="0.45">
      <c r="A148" s="92"/>
    </row>
    <row r="149" spans="1:1" ht="15.75" customHeight="1" x14ac:dyDescent="0.45">
      <c r="A149" s="92"/>
    </row>
    <row r="150" spans="1:1" ht="15.75" customHeight="1" x14ac:dyDescent="0.45">
      <c r="A150" s="92"/>
    </row>
    <row r="151" spans="1:1" ht="15.75" customHeight="1" x14ac:dyDescent="0.45">
      <c r="A151" s="92"/>
    </row>
    <row r="152" spans="1:1" ht="15.75" customHeight="1" x14ac:dyDescent="0.45">
      <c r="A152" s="92"/>
    </row>
    <row r="153" spans="1:1" ht="15.75" customHeight="1" x14ac:dyDescent="0.45">
      <c r="A153" s="92"/>
    </row>
    <row r="154" spans="1:1" ht="15.75" customHeight="1" x14ac:dyDescent="0.45">
      <c r="A154" s="92"/>
    </row>
    <row r="155" spans="1:1" ht="15.75" customHeight="1" x14ac:dyDescent="0.45">
      <c r="A155" s="92"/>
    </row>
    <row r="156" spans="1:1" ht="15.75" customHeight="1" x14ac:dyDescent="0.45">
      <c r="A156" s="92"/>
    </row>
    <row r="157" spans="1:1" ht="15.75" customHeight="1" x14ac:dyDescent="0.45">
      <c r="A157" s="92"/>
    </row>
    <row r="158" spans="1:1" ht="15.75" customHeight="1" x14ac:dyDescent="0.45">
      <c r="A158" s="92"/>
    </row>
    <row r="159" spans="1:1" ht="15.75" customHeight="1" x14ac:dyDescent="0.45">
      <c r="A159" s="92"/>
    </row>
    <row r="160" spans="1:1" ht="15.75" customHeight="1" x14ac:dyDescent="0.45">
      <c r="A160" s="92"/>
    </row>
    <row r="161" spans="1:1" ht="15.75" customHeight="1" x14ac:dyDescent="0.45">
      <c r="A161" s="92"/>
    </row>
    <row r="162" spans="1:1" ht="15.75" customHeight="1" x14ac:dyDescent="0.45">
      <c r="A162" s="92"/>
    </row>
    <row r="163" spans="1:1" ht="15.75" customHeight="1" x14ac:dyDescent="0.45">
      <c r="A163" s="92"/>
    </row>
    <row r="164" spans="1:1" ht="15.75" customHeight="1" x14ac:dyDescent="0.45">
      <c r="A164" s="92"/>
    </row>
    <row r="165" spans="1:1" ht="15.75" customHeight="1" x14ac:dyDescent="0.45">
      <c r="A165" s="92"/>
    </row>
    <row r="166" spans="1:1" ht="15.75" customHeight="1" x14ac:dyDescent="0.45">
      <c r="A166" s="92"/>
    </row>
    <row r="167" spans="1:1" ht="15.75" customHeight="1" x14ac:dyDescent="0.45">
      <c r="A167" s="92"/>
    </row>
    <row r="168" spans="1:1" ht="15.75" customHeight="1" x14ac:dyDescent="0.45">
      <c r="A168" s="92"/>
    </row>
    <row r="169" spans="1:1" ht="15.75" customHeight="1" x14ac:dyDescent="0.45">
      <c r="A169" s="92"/>
    </row>
    <row r="170" spans="1:1" ht="15.75" customHeight="1" x14ac:dyDescent="0.45">
      <c r="A170" s="92"/>
    </row>
    <row r="171" spans="1:1" ht="15.75" customHeight="1" x14ac:dyDescent="0.45">
      <c r="A171" s="92"/>
    </row>
    <row r="172" spans="1:1" ht="15.75" customHeight="1" x14ac:dyDescent="0.45">
      <c r="A172" s="92"/>
    </row>
    <row r="173" spans="1:1" ht="15.75" customHeight="1" x14ac:dyDescent="0.45">
      <c r="A173" s="92"/>
    </row>
    <row r="174" spans="1:1" ht="15.75" customHeight="1" x14ac:dyDescent="0.45">
      <c r="A174" s="92"/>
    </row>
    <row r="175" spans="1:1" ht="15.75" customHeight="1" x14ac:dyDescent="0.45">
      <c r="A175" s="92"/>
    </row>
    <row r="176" spans="1:1" ht="15.75" customHeight="1" x14ac:dyDescent="0.45">
      <c r="A176" s="92"/>
    </row>
    <row r="177" spans="1:1" ht="15.75" customHeight="1" x14ac:dyDescent="0.45">
      <c r="A177" s="92"/>
    </row>
    <row r="178" spans="1:1" ht="15.75" customHeight="1" x14ac:dyDescent="0.45">
      <c r="A178" s="92"/>
    </row>
    <row r="179" spans="1:1" ht="15.75" customHeight="1" x14ac:dyDescent="0.45">
      <c r="A179" s="92"/>
    </row>
    <row r="180" spans="1:1" ht="15.75" customHeight="1" x14ac:dyDescent="0.45">
      <c r="A180" s="92"/>
    </row>
    <row r="181" spans="1:1" ht="15.75" customHeight="1" x14ac:dyDescent="0.45">
      <c r="A181" s="92"/>
    </row>
    <row r="182" spans="1:1" ht="15.75" customHeight="1" x14ac:dyDescent="0.45">
      <c r="A182" s="92"/>
    </row>
    <row r="183" spans="1:1" ht="15.75" customHeight="1" x14ac:dyDescent="0.45">
      <c r="A183" s="92"/>
    </row>
    <row r="184" spans="1:1" ht="15.75" customHeight="1" x14ac:dyDescent="0.45">
      <c r="A184" s="92"/>
    </row>
    <row r="185" spans="1:1" ht="15.75" customHeight="1" x14ac:dyDescent="0.45">
      <c r="A185" s="92"/>
    </row>
    <row r="186" spans="1:1" ht="15.75" customHeight="1" x14ac:dyDescent="0.45">
      <c r="A186" s="92"/>
    </row>
    <row r="187" spans="1:1" ht="15.75" customHeight="1" x14ac:dyDescent="0.45">
      <c r="A187" s="92"/>
    </row>
    <row r="188" spans="1:1" ht="15.75" customHeight="1" x14ac:dyDescent="0.45">
      <c r="A188" s="92"/>
    </row>
    <row r="189" spans="1:1" ht="15.75" customHeight="1" x14ac:dyDescent="0.45">
      <c r="A189" s="92"/>
    </row>
    <row r="190" spans="1:1" ht="15.75" customHeight="1" x14ac:dyDescent="0.45">
      <c r="A190" s="92"/>
    </row>
    <row r="191" spans="1:1" ht="15.75" customHeight="1" x14ac:dyDescent="0.45">
      <c r="A191" s="92"/>
    </row>
    <row r="192" spans="1:1" ht="15.75" customHeight="1" x14ac:dyDescent="0.45">
      <c r="A192" s="92"/>
    </row>
    <row r="193" spans="1:1" ht="15.75" customHeight="1" x14ac:dyDescent="0.45">
      <c r="A193" s="92"/>
    </row>
    <row r="194" spans="1:1" ht="15.75" customHeight="1" x14ac:dyDescent="0.45">
      <c r="A194" s="92"/>
    </row>
    <row r="195" spans="1:1" ht="15.75" customHeight="1" x14ac:dyDescent="0.45">
      <c r="A195" s="92"/>
    </row>
    <row r="196" spans="1:1" ht="15.75" customHeight="1" x14ac:dyDescent="0.45">
      <c r="A196" s="92"/>
    </row>
    <row r="197" spans="1:1" ht="15.75" customHeight="1" x14ac:dyDescent="0.45">
      <c r="A197" s="92"/>
    </row>
    <row r="198" spans="1:1" ht="15.75" customHeight="1" x14ac:dyDescent="0.45">
      <c r="A198" s="92"/>
    </row>
    <row r="199" spans="1:1" ht="15.75" customHeight="1" x14ac:dyDescent="0.45">
      <c r="A199" s="92"/>
    </row>
    <row r="200" spans="1:1" ht="15.75" customHeight="1" x14ac:dyDescent="0.45">
      <c r="A200" s="92"/>
    </row>
    <row r="201" spans="1:1" ht="15.75" customHeight="1" x14ac:dyDescent="0.45">
      <c r="A201" s="92"/>
    </row>
    <row r="202" spans="1:1" ht="15.75" customHeight="1" x14ac:dyDescent="0.45">
      <c r="A202" s="92"/>
    </row>
    <row r="203" spans="1:1" ht="15.75" customHeight="1" x14ac:dyDescent="0.45">
      <c r="A203" s="92"/>
    </row>
    <row r="204" spans="1:1" ht="15.75" customHeight="1" x14ac:dyDescent="0.45">
      <c r="A204" s="92"/>
    </row>
    <row r="205" spans="1:1" ht="15.75" customHeight="1" x14ac:dyDescent="0.45">
      <c r="A205" s="92"/>
    </row>
    <row r="206" spans="1:1" ht="15.75" customHeight="1" x14ac:dyDescent="0.45">
      <c r="A206" s="92"/>
    </row>
    <row r="207" spans="1:1" ht="15.75" customHeight="1" x14ac:dyDescent="0.45">
      <c r="A207" s="92"/>
    </row>
    <row r="208" spans="1:1" ht="15.75" customHeight="1" x14ac:dyDescent="0.45">
      <c r="A208" s="92"/>
    </row>
    <row r="209" spans="1:1" ht="15.75" customHeight="1" x14ac:dyDescent="0.45">
      <c r="A209" s="92"/>
    </row>
    <row r="210" spans="1:1" ht="15.75" customHeight="1" x14ac:dyDescent="0.45">
      <c r="A210" s="92"/>
    </row>
    <row r="211" spans="1:1" ht="15.75" customHeight="1" x14ac:dyDescent="0.45">
      <c r="A211" s="92"/>
    </row>
    <row r="212" spans="1:1" ht="15.75" customHeight="1" x14ac:dyDescent="0.45">
      <c r="A212" s="92"/>
    </row>
    <row r="213" spans="1:1" ht="15.75" customHeight="1" x14ac:dyDescent="0.45">
      <c r="A213" s="92"/>
    </row>
    <row r="214" spans="1:1" ht="15.75" customHeight="1" x14ac:dyDescent="0.45">
      <c r="A214" s="92"/>
    </row>
    <row r="215" spans="1:1" ht="15.75" customHeight="1" x14ac:dyDescent="0.45">
      <c r="A215" s="92"/>
    </row>
    <row r="216" spans="1:1" ht="15.75" customHeight="1" x14ac:dyDescent="0.45">
      <c r="A216" s="92"/>
    </row>
    <row r="217" spans="1:1" ht="15.75" customHeight="1" x14ac:dyDescent="0.45">
      <c r="A217" s="92"/>
    </row>
    <row r="218" spans="1:1" ht="15.75" customHeight="1" x14ac:dyDescent="0.45">
      <c r="A218" s="92"/>
    </row>
    <row r="219" spans="1:1" ht="15.75" customHeight="1" x14ac:dyDescent="0.45">
      <c r="A219" s="92"/>
    </row>
    <row r="220" spans="1:1" ht="15.75" customHeight="1" x14ac:dyDescent="0.45">
      <c r="A220" s="92"/>
    </row>
    <row r="221" spans="1:1" ht="15.75" customHeight="1" x14ac:dyDescent="0.45">
      <c r="A221" s="92"/>
    </row>
    <row r="222" spans="1:1" ht="15.75" customHeight="1" x14ac:dyDescent="0.45">
      <c r="A222" s="92"/>
    </row>
    <row r="223" spans="1:1" ht="15.75" customHeight="1" x14ac:dyDescent="0.45">
      <c r="A223" s="92"/>
    </row>
    <row r="224" spans="1:1" ht="15.75" customHeight="1" x14ac:dyDescent="0.45">
      <c r="A224" s="92"/>
    </row>
    <row r="225" spans="1:1" ht="15.75" customHeight="1" x14ac:dyDescent="0.45">
      <c r="A225" s="92"/>
    </row>
    <row r="226" spans="1:1" ht="15.75" customHeight="1" x14ac:dyDescent="0.45">
      <c r="A226" s="92"/>
    </row>
    <row r="227" spans="1:1" ht="15.75" customHeight="1" x14ac:dyDescent="0.45">
      <c r="A227" s="92"/>
    </row>
    <row r="228" spans="1:1" ht="15.75" customHeight="1" x14ac:dyDescent="0.45">
      <c r="A228" s="92"/>
    </row>
    <row r="229" spans="1:1" ht="15.75" customHeight="1" x14ac:dyDescent="0.45">
      <c r="A229" s="92"/>
    </row>
    <row r="230" spans="1:1" ht="15.75" customHeight="1" x14ac:dyDescent="0.45">
      <c r="A230" s="92"/>
    </row>
    <row r="231" spans="1:1" ht="15.75" customHeight="1" x14ac:dyDescent="0.45">
      <c r="A231" s="92"/>
    </row>
    <row r="232" spans="1:1" ht="15.75" customHeight="1" x14ac:dyDescent="0.45">
      <c r="A232" s="92"/>
    </row>
    <row r="233" spans="1:1" ht="15.75" customHeight="1" x14ac:dyDescent="0.45">
      <c r="A233" s="92"/>
    </row>
    <row r="234" spans="1:1" ht="15.75" customHeight="1" x14ac:dyDescent="0.45">
      <c r="A234" s="92"/>
    </row>
    <row r="235" spans="1:1" ht="15.75" customHeight="1" x14ac:dyDescent="0.45">
      <c r="A235" s="92"/>
    </row>
    <row r="236" spans="1:1" ht="15.75" customHeight="1" x14ac:dyDescent="0.45">
      <c r="A236" s="92"/>
    </row>
    <row r="237" spans="1:1" ht="15.75" customHeight="1" x14ac:dyDescent="0.45">
      <c r="A237" s="92"/>
    </row>
    <row r="238" spans="1:1" ht="15.75" customHeight="1" x14ac:dyDescent="0.45">
      <c r="A238" s="92"/>
    </row>
    <row r="239" spans="1:1" ht="15.75" customHeight="1" x14ac:dyDescent="0.45">
      <c r="A239" s="92"/>
    </row>
    <row r="240" spans="1:1" ht="15.75" customHeight="1" x14ac:dyDescent="0.45">
      <c r="A240" s="92"/>
    </row>
    <row r="241" spans="1:1" ht="15.75" customHeight="1" x14ac:dyDescent="0.45">
      <c r="A241" s="92"/>
    </row>
    <row r="242" spans="1:1" ht="15.75" customHeight="1" x14ac:dyDescent="0.45">
      <c r="A242" s="92"/>
    </row>
    <row r="243" spans="1:1" ht="15.75" customHeight="1" x14ac:dyDescent="0.45">
      <c r="A243" s="92"/>
    </row>
    <row r="244" spans="1:1" ht="15.75" customHeight="1" x14ac:dyDescent="0.45">
      <c r="A244" s="92"/>
    </row>
    <row r="245" spans="1:1" ht="15.75" customHeight="1" x14ac:dyDescent="0.45">
      <c r="A245" s="92"/>
    </row>
    <row r="246" spans="1:1" ht="15.75" customHeight="1" x14ac:dyDescent="0.45">
      <c r="A246" s="92"/>
    </row>
    <row r="247" spans="1:1" ht="15.75" customHeight="1" x14ac:dyDescent="0.45">
      <c r="A247" s="92"/>
    </row>
    <row r="248" spans="1:1" ht="15.75" customHeight="1" x14ac:dyDescent="0.45">
      <c r="A248" s="92"/>
    </row>
    <row r="249" spans="1:1" ht="15.75" customHeight="1" x14ac:dyDescent="0.45">
      <c r="A249" s="92"/>
    </row>
    <row r="250" spans="1:1" ht="15.75" customHeight="1" x14ac:dyDescent="0.45">
      <c r="A250" s="92"/>
    </row>
    <row r="251" spans="1:1" ht="15.75" customHeight="1" x14ac:dyDescent="0.45">
      <c r="A251" s="92"/>
    </row>
    <row r="252" spans="1:1" ht="15.75" customHeight="1" x14ac:dyDescent="0.45">
      <c r="A252" s="92"/>
    </row>
    <row r="253" spans="1:1" ht="15.75" customHeight="1" x14ac:dyDescent="0.45">
      <c r="A253" s="92"/>
    </row>
    <row r="254" spans="1:1" ht="15.75" customHeight="1" x14ac:dyDescent="0.45">
      <c r="A254" s="92"/>
    </row>
    <row r="255" spans="1:1" ht="15.75" customHeight="1" x14ac:dyDescent="0.45">
      <c r="A255" s="92"/>
    </row>
    <row r="256" spans="1:1" ht="15.75" customHeight="1" x14ac:dyDescent="0.45">
      <c r="A256" s="92"/>
    </row>
    <row r="257" spans="1:1" ht="15.75" customHeight="1" x14ac:dyDescent="0.45">
      <c r="A257" s="92"/>
    </row>
    <row r="258" spans="1:1" ht="15.75" customHeight="1" x14ac:dyDescent="0.45">
      <c r="A258" s="92"/>
    </row>
    <row r="259" spans="1:1" ht="15.75" customHeight="1" x14ac:dyDescent="0.45">
      <c r="A259" s="92"/>
    </row>
    <row r="260" spans="1:1" ht="15.75" customHeight="1" x14ac:dyDescent="0.45">
      <c r="A260" s="92"/>
    </row>
    <row r="261" spans="1:1" ht="15.75" customHeight="1" x14ac:dyDescent="0.45">
      <c r="A261" s="92"/>
    </row>
    <row r="262" spans="1:1" ht="15.75" customHeight="1" x14ac:dyDescent="0.45">
      <c r="A262" s="92"/>
    </row>
    <row r="263" spans="1:1" ht="15.75" customHeight="1" x14ac:dyDescent="0.45">
      <c r="A263" s="92"/>
    </row>
    <row r="264" spans="1:1" ht="15.75" customHeight="1" x14ac:dyDescent="0.45">
      <c r="A264" s="92"/>
    </row>
    <row r="265" spans="1:1" ht="15.75" customHeight="1" x14ac:dyDescent="0.45">
      <c r="A265" s="92"/>
    </row>
    <row r="266" spans="1:1" ht="15.75" customHeight="1" x14ac:dyDescent="0.45">
      <c r="A266" s="92"/>
    </row>
    <row r="267" spans="1:1" ht="15.75" customHeight="1" x14ac:dyDescent="0.45">
      <c r="A267" s="92"/>
    </row>
    <row r="268" spans="1:1" ht="15.75" customHeight="1" x14ac:dyDescent="0.45">
      <c r="A268" s="92"/>
    </row>
    <row r="269" spans="1:1" ht="15.75" customHeight="1" x14ac:dyDescent="0.45">
      <c r="A269" s="92"/>
    </row>
    <row r="270" spans="1:1" ht="15.75" customHeight="1" x14ac:dyDescent="0.45">
      <c r="A270" s="92"/>
    </row>
    <row r="271" spans="1:1" ht="15.75" customHeight="1" x14ac:dyDescent="0.45">
      <c r="A271" s="92"/>
    </row>
    <row r="272" spans="1:1" ht="15.75" customHeight="1" x14ac:dyDescent="0.45">
      <c r="A272" s="92"/>
    </row>
    <row r="273" spans="1:1" ht="15.75" customHeight="1" x14ac:dyDescent="0.45">
      <c r="A273" s="92"/>
    </row>
    <row r="274" spans="1:1" ht="15.75" customHeight="1" x14ac:dyDescent="0.45">
      <c r="A274" s="92"/>
    </row>
    <row r="275" spans="1:1" ht="15.75" customHeight="1" x14ac:dyDescent="0.45">
      <c r="A275" s="92"/>
    </row>
    <row r="276" spans="1:1" ht="15.75" customHeight="1" x14ac:dyDescent="0.45">
      <c r="A276" s="92"/>
    </row>
    <row r="277" spans="1:1" ht="15.75" customHeight="1" x14ac:dyDescent="0.45">
      <c r="A277" s="92"/>
    </row>
    <row r="278" spans="1:1" ht="15.75" customHeight="1" x14ac:dyDescent="0.45">
      <c r="A278" s="92"/>
    </row>
    <row r="279" spans="1:1" ht="15.75" customHeight="1" x14ac:dyDescent="0.45">
      <c r="A279" s="92"/>
    </row>
    <row r="280" spans="1:1" ht="15.75" customHeight="1" x14ac:dyDescent="0.45">
      <c r="A280" s="92"/>
    </row>
    <row r="281" spans="1:1" ht="15.75" customHeight="1" x14ac:dyDescent="0.45">
      <c r="A281" s="92"/>
    </row>
    <row r="282" spans="1:1" ht="15.75" customHeight="1" x14ac:dyDescent="0.45">
      <c r="A282" s="92"/>
    </row>
    <row r="283" spans="1:1" ht="15.75" customHeight="1" x14ac:dyDescent="0.45">
      <c r="A283" s="92"/>
    </row>
    <row r="284" spans="1:1" ht="15.75" customHeight="1" x14ac:dyDescent="0.45">
      <c r="A284" s="92"/>
    </row>
    <row r="285" spans="1:1" ht="15.75" customHeight="1" x14ac:dyDescent="0.45">
      <c r="A285" s="92"/>
    </row>
    <row r="286" spans="1:1" ht="15.75" customHeight="1" x14ac:dyDescent="0.45">
      <c r="A286" s="92"/>
    </row>
    <row r="287" spans="1:1" ht="15.75" customHeight="1" x14ac:dyDescent="0.45">
      <c r="A287" s="92"/>
    </row>
    <row r="288" spans="1:1" ht="15.75" customHeight="1" x14ac:dyDescent="0.45">
      <c r="A288" s="92"/>
    </row>
    <row r="289" spans="1:1" ht="15.75" customHeight="1" x14ac:dyDescent="0.45">
      <c r="A289" s="92"/>
    </row>
    <row r="290" spans="1:1" ht="15.75" customHeight="1" x14ac:dyDescent="0.45">
      <c r="A290" s="92"/>
    </row>
    <row r="291" spans="1:1" ht="15.75" customHeight="1" x14ac:dyDescent="0.45">
      <c r="A291" s="92"/>
    </row>
    <row r="292" spans="1:1" ht="15.75" customHeight="1" x14ac:dyDescent="0.45">
      <c r="A292" s="92"/>
    </row>
    <row r="293" spans="1:1" ht="15.75" customHeight="1" x14ac:dyDescent="0.45">
      <c r="A293" s="92"/>
    </row>
    <row r="294" spans="1:1" ht="15.75" customHeight="1" x14ac:dyDescent="0.45">
      <c r="A294" s="92"/>
    </row>
    <row r="295" spans="1:1" ht="15.75" customHeight="1" x14ac:dyDescent="0.45">
      <c r="A295" s="92"/>
    </row>
    <row r="296" spans="1:1" ht="15.75" customHeight="1" x14ac:dyDescent="0.45">
      <c r="A296" s="92"/>
    </row>
    <row r="297" spans="1:1" ht="15.75" customHeight="1" x14ac:dyDescent="0.45">
      <c r="A297" s="92"/>
    </row>
    <row r="298" spans="1:1" ht="15.75" customHeight="1" x14ac:dyDescent="0.45">
      <c r="A298" s="92"/>
    </row>
    <row r="299" spans="1:1" ht="15.75" customHeight="1" x14ac:dyDescent="0.45">
      <c r="A299" s="92"/>
    </row>
    <row r="300" spans="1:1" ht="15.75" customHeight="1" x14ac:dyDescent="0.45">
      <c r="A300" s="92"/>
    </row>
    <row r="301" spans="1:1" ht="15.75" customHeight="1" x14ac:dyDescent="0.45">
      <c r="A301" s="92"/>
    </row>
    <row r="302" spans="1:1" ht="15.75" customHeight="1" x14ac:dyDescent="0.45">
      <c r="A302" s="92"/>
    </row>
    <row r="303" spans="1:1" ht="15.75" customHeight="1" x14ac:dyDescent="0.45">
      <c r="A303" s="92"/>
    </row>
    <row r="304" spans="1:1" ht="15.75" customHeight="1" x14ac:dyDescent="0.45">
      <c r="A304" s="92"/>
    </row>
    <row r="305" spans="1:1" ht="15.75" customHeight="1" x14ac:dyDescent="0.45">
      <c r="A305" s="92"/>
    </row>
    <row r="306" spans="1:1" ht="15.75" customHeight="1" x14ac:dyDescent="0.45">
      <c r="A306" s="92"/>
    </row>
    <row r="307" spans="1:1" ht="15.75" customHeight="1" x14ac:dyDescent="0.45">
      <c r="A307" s="92"/>
    </row>
    <row r="308" spans="1:1" ht="15.75" customHeight="1" x14ac:dyDescent="0.45">
      <c r="A308" s="92"/>
    </row>
    <row r="309" spans="1:1" ht="15.75" customHeight="1" x14ac:dyDescent="0.45">
      <c r="A309" s="92"/>
    </row>
    <row r="310" spans="1:1" ht="15.75" customHeight="1" x14ac:dyDescent="0.45">
      <c r="A310" s="92"/>
    </row>
    <row r="311" spans="1:1" ht="15.75" customHeight="1" x14ac:dyDescent="0.45">
      <c r="A311" s="92"/>
    </row>
    <row r="312" spans="1:1" ht="15.75" customHeight="1" x14ac:dyDescent="0.45">
      <c r="A312" s="92"/>
    </row>
    <row r="313" spans="1:1" ht="15.75" customHeight="1" x14ac:dyDescent="0.45">
      <c r="A313" s="92"/>
    </row>
    <row r="314" spans="1:1" ht="15.75" customHeight="1" x14ac:dyDescent="0.45">
      <c r="A314" s="92"/>
    </row>
    <row r="315" spans="1:1" ht="15.75" customHeight="1" x14ac:dyDescent="0.45">
      <c r="A315" s="92"/>
    </row>
    <row r="316" spans="1:1" ht="15.75" customHeight="1" x14ac:dyDescent="0.45">
      <c r="A316" s="92"/>
    </row>
    <row r="317" spans="1:1" ht="15.75" customHeight="1" x14ac:dyDescent="0.45">
      <c r="A317" s="92"/>
    </row>
    <row r="318" spans="1:1" ht="15.75" customHeight="1" x14ac:dyDescent="0.45">
      <c r="A318" s="92"/>
    </row>
    <row r="319" spans="1:1" ht="15.75" customHeight="1" x14ac:dyDescent="0.45">
      <c r="A319" s="92"/>
    </row>
    <row r="320" spans="1:1" ht="15.75" customHeight="1" x14ac:dyDescent="0.45">
      <c r="A320" s="92"/>
    </row>
    <row r="321" spans="1:1" ht="15.75" customHeight="1" x14ac:dyDescent="0.45">
      <c r="A321" s="92"/>
    </row>
    <row r="322" spans="1:1" ht="15.75" customHeight="1" x14ac:dyDescent="0.45">
      <c r="A322" s="92"/>
    </row>
    <row r="323" spans="1:1" ht="15.75" customHeight="1" x14ac:dyDescent="0.45">
      <c r="A323" s="92"/>
    </row>
    <row r="324" spans="1:1" ht="15.75" customHeight="1" x14ac:dyDescent="0.45">
      <c r="A324" s="92"/>
    </row>
    <row r="325" spans="1:1" ht="15.75" customHeight="1" x14ac:dyDescent="0.45">
      <c r="A325" s="92"/>
    </row>
    <row r="326" spans="1:1" ht="15.75" customHeight="1" x14ac:dyDescent="0.45">
      <c r="A326" s="92"/>
    </row>
    <row r="327" spans="1:1" ht="15.75" customHeight="1" x14ac:dyDescent="0.45">
      <c r="A327" s="92"/>
    </row>
    <row r="328" spans="1:1" ht="15.75" customHeight="1" x14ac:dyDescent="0.45">
      <c r="A328" s="92"/>
    </row>
    <row r="329" spans="1:1" ht="15.75" customHeight="1" x14ac:dyDescent="0.45">
      <c r="A329" s="92"/>
    </row>
    <row r="330" spans="1:1" ht="15.75" customHeight="1" x14ac:dyDescent="0.45">
      <c r="A330" s="92"/>
    </row>
    <row r="331" spans="1:1" ht="15.75" customHeight="1" x14ac:dyDescent="0.45">
      <c r="A331" s="92"/>
    </row>
    <row r="332" spans="1:1" ht="15.75" customHeight="1" x14ac:dyDescent="0.45">
      <c r="A332" s="92"/>
    </row>
    <row r="333" spans="1:1" ht="15.75" customHeight="1" x14ac:dyDescent="0.45">
      <c r="A333" s="92"/>
    </row>
    <row r="334" spans="1:1" ht="15.75" customHeight="1" x14ac:dyDescent="0.45">
      <c r="A334" s="92"/>
    </row>
    <row r="335" spans="1:1" ht="15.75" customHeight="1" x14ac:dyDescent="0.45">
      <c r="A335" s="92"/>
    </row>
    <row r="336" spans="1:1" ht="15.75" customHeight="1" x14ac:dyDescent="0.45">
      <c r="A336" s="92"/>
    </row>
    <row r="337" spans="1:1" ht="15.75" customHeight="1" x14ac:dyDescent="0.45">
      <c r="A337" s="92"/>
    </row>
    <row r="338" spans="1:1" ht="15.75" customHeight="1" x14ac:dyDescent="0.45">
      <c r="A338" s="92"/>
    </row>
    <row r="339" spans="1:1" ht="15.75" customHeight="1" x14ac:dyDescent="0.45">
      <c r="A339" s="92"/>
    </row>
    <row r="340" spans="1:1" ht="15.75" customHeight="1" x14ac:dyDescent="0.45">
      <c r="A340" s="92"/>
    </row>
    <row r="341" spans="1:1" ht="15.75" customHeight="1" x14ac:dyDescent="0.45">
      <c r="A341" s="92"/>
    </row>
    <row r="342" spans="1:1" ht="15.75" customHeight="1" x14ac:dyDescent="0.45">
      <c r="A342" s="92"/>
    </row>
    <row r="343" spans="1:1" ht="15.75" customHeight="1" x14ac:dyDescent="0.45">
      <c r="A343" s="92"/>
    </row>
    <row r="344" spans="1:1" ht="15.75" customHeight="1" x14ac:dyDescent="0.45">
      <c r="A344" s="92"/>
    </row>
    <row r="345" spans="1:1" ht="15.75" customHeight="1" x14ac:dyDescent="0.45">
      <c r="A345" s="92"/>
    </row>
    <row r="346" spans="1:1" ht="15.75" customHeight="1" x14ac:dyDescent="0.45">
      <c r="A346" s="92"/>
    </row>
    <row r="347" spans="1:1" ht="15.75" customHeight="1" x14ac:dyDescent="0.45">
      <c r="A347" s="92"/>
    </row>
    <row r="348" spans="1:1" ht="15.75" customHeight="1" x14ac:dyDescent="0.45">
      <c r="A348" s="92"/>
    </row>
    <row r="349" spans="1:1" ht="15.75" customHeight="1" x14ac:dyDescent="0.45">
      <c r="A349" s="92"/>
    </row>
    <row r="350" spans="1:1" ht="15.75" customHeight="1" x14ac:dyDescent="0.45">
      <c r="A350" s="92"/>
    </row>
    <row r="351" spans="1:1" ht="15.75" customHeight="1" x14ac:dyDescent="0.45">
      <c r="A351" s="92"/>
    </row>
    <row r="352" spans="1:1" ht="15.75" customHeight="1" x14ac:dyDescent="0.45">
      <c r="A352" s="92"/>
    </row>
    <row r="353" spans="1:1" ht="15.75" customHeight="1" x14ac:dyDescent="0.45">
      <c r="A353" s="92"/>
    </row>
    <row r="354" spans="1:1" ht="15.75" customHeight="1" x14ac:dyDescent="0.45">
      <c r="A354" s="92"/>
    </row>
    <row r="355" spans="1:1" ht="15.75" customHeight="1" x14ac:dyDescent="0.45">
      <c r="A355" s="92"/>
    </row>
    <row r="356" spans="1:1" ht="15.75" customHeight="1" x14ac:dyDescent="0.45">
      <c r="A356" s="92"/>
    </row>
    <row r="357" spans="1:1" ht="15.75" customHeight="1" x14ac:dyDescent="0.45">
      <c r="A357" s="92"/>
    </row>
    <row r="358" spans="1:1" ht="15.75" customHeight="1" x14ac:dyDescent="0.45">
      <c r="A358" s="92"/>
    </row>
    <row r="359" spans="1:1" ht="15.75" customHeight="1" x14ac:dyDescent="0.45">
      <c r="A359" s="92"/>
    </row>
    <row r="360" spans="1:1" ht="15.75" customHeight="1" x14ac:dyDescent="0.45">
      <c r="A360" s="92"/>
    </row>
    <row r="361" spans="1:1" ht="15.75" customHeight="1" x14ac:dyDescent="0.45">
      <c r="A361" s="92"/>
    </row>
    <row r="362" spans="1:1" ht="15.75" customHeight="1" x14ac:dyDescent="0.45">
      <c r="A362" s="92"/>
    </row>
    <row r="363" spans="1:1" ht="15.75" customHeight="1" x14ac:dyDescent="0.45">
      <c r="A363" s="92"/>
    </row>
    <row r="364" spans="1:1" ht="15.75" customHeight="1" x14ac:dyDescent="0.45">
      <c r="A364" s="92"/>
    </row>
    <row r="365" spans="1:1" ht="15.75" customHeight="1" x14ac:dyDescent="0.45">
      <c r="A365" s="92"/>
    </row>
    <row r="366" spans="1:1" ht="15.75" customHeight="1" x14ac:dyDescent="0.45">
      <c r="A366" s="92"/>
    </row>
    <row r="367" spans="1:1" ht="15.75" customHeight="1" x14ac:dyDescent="0.45">
      <c r="A367" s="92"/>
    </row>
    <row r="368" spans="1:1" ht="15.75" customHeight="1" x14ac:dyDescent="0.45">
      <c r="A368" s="92"/>
    </row>
    <row r="369" spans="1:1" ht="15.75" customHeight="1" x14ac:dyDescent="0.45">
      <c r="A369" s="92"/>
    </row>
    <row r="370" spans="1:1" ht="15.75" customHeight="1" x14ac:dyDescent="0.45">
      <c r="A370" s="92"/>
    </row>
    <row r="371" spans="1:1" ht="15.75" customHeight="1" x14ac:dyDescent="0.45">
      <c r="A371" s="92"/>
    </row>
    <row r="372" spans="1:1" ht="15.75" customHeight="1" x14ac:dyDescent="0.45">
      <c r="A372" s="92"/>
    </row>
    <row r="373" spans="1:1" ht="15.75" customHeight="1" x14ac:dyDescent="0.45">
      <c r="A373" s="92"/>
    </row>
    <row r="374" spans="1:1" ht="15.75" customHeight="1" x14ac:dyDescent="0.45">
      <c r="A374" s="92"/>
    </row>
    <row r="375" spans="1:1" ht="15.75" customHeight="1" x14ac:dyDescent="0.45">
      <c r="A375" s="92"/>
    </row>
    <row r="376" spans="1:1" ht="15.75" customHeight="1" x14ac:dyDescent="0.45">
      <c r="A376" s="92"/>
    </row>
    <row r="377" spans="1:1" ht="15.75" customHeight="1" x14ac:dyDescent="0.45">
      <c r="A377" s="92"/>
    </row>
    <row r="378" spans="1:1" ht="15.75" customHeight="1" x14ac:dyDescent="0.45">
      <c r="A378" s="92"/>
    </row>
    <row r="379" spans="1:1" ht="15.75" customHeight="1" x14ac:dyDescent="0.45">
      <c r="A379" s="92"/>
    </row>
    <row r="380" spans="1:1" ht="15.75" customHeight="1" x14ac:dyDescent="0.45">
      <c r="A380" s="92"/>
    </row>
    <row r="381" spans="1:1" ht="15.75" customHeight="1" x14ac:dyDescent="0.45">
      <c r="A381" s="92"/>
    </row>
    <row r="382" spans="1:1" ht="15.75" customHeight="1" x14ac:dyDescent="0.45">
      <c r="A382" s="92"/>
    </row>
    <row r="383" spans="1:1" ht="15.75" customHeight="1" x14ac:dyDescent="0.45">
      <c r="A383" s="92"/>
    </row>
    <row r="384" spans="1:1" ht="15.75" customHeight="1" x14ac:dyDescent="0.45">
      <c r="A384" s="92"/>
    </row>
    <row r="385" spans="1:1" ht="15.75" customHeight="1" x14ac:dyDescent="0.45">
      <c r="A385" s="92"/>
    </row>
    <row r="386" spans="1:1" ht="15.75" customHeight="1" x14ac:dyDescent="0.45">
      <c r="A386" s="92"/>
    </row>
    <row r="387" spans="1:1" ht="15.75" customHeight="1" x14ac:dyDescent="0.45">
      <c r="A387" s="92"/>
    </row>
    <row r="388" spans="1:1" ht="15.75" customHeight="1" x14ac:dyDescent="0.45">
      <c r="A388" s="92"/>
    </row>
    <row r="389" spans="1:1" ht="15.75" customHeight="1" x14ac:dyDescent="0.45">
      <c r="A389" s="92"/>
    </row>
    <row r="390" spans="1:1" ht="15.75" customHeight="1" x14ac:dyDescent="0.45">
      <c r="A390" s="92"/>
    </row>
    <row r="391" spans="1:1" ht="15.75" customHeight="1" x14ac:dyDescent="0.45">
      <c r="A391" s="92"/>
    </row>
    <row r="392" spans="1:1" ht="15.75" customHeight="1" x14ac:dyDescent="0.45">
      <c r="A392" s="92"/>
    </row>
    <row r="393" spans="1:1" ht="15.75" customHeight="1" x14ac:dyDescent="0.45">
      <c r="A393" s="92"/>
    </row>
    <row r="394" spans="1:1" ht="15.75" customHeight="1" x14ac:dyDescent="0.45">
      <c r="A394" s="92"/>
    </row>
    <row r="395" spans="1:1" ht="15.75" customHeight="1" x14ac:dyDescent="0.45">
      <c r="A395" s="92"/>
    </row>
    <row r="396" spans="1:1" ht="15.75" customHeight="1" x14ac:dyDescent="0.45">
      <c r="A396" s="92"/>
    </row>
    <row r="397" spans="1:1" ht="15.75" customHeight="1" x14ac:dyDescent="0.45">
      <c r="A397" s="92"/>
    </row>
    <row r="398" spans="1:1" ht="15.75" customHeight="1" x14ac:dyDescent="0.45">
      <c r="A398" s="92"/>
    </row>
    <row r="399" spans="1:1" ht="15.75" customHeight="1" x14ac:dyDescent="0.45">
      <c r="A399" s="92"/>
    </row>
    <row r="400" spans="1:1" ht="15.75" customHeight="1" x14ac:dyDescent="0.45">
      <c r="A400" s="92"/>
    </row>
    <row r="401" spans="1:1" ht="15.75" customHeight="1" x14ac:dyDescent="0.45">
      <c r="A401" s="92"/>
    </row>
    <row r="402" spans="1:1" ht="15.75" customHeight="1" x14ac:dyDescent="0.45">
      <c r="A402" s="92"/>
    </row>
    <row r="403" spans="1:1" ht="15.75" customHeight="1" x14ac:dyDescent="0.45">
      <c r="A403" s="92"/>
    </row>
    <row r="404" spans="1:1" ht="15.75" customHeight="1" x14ac:dyDescent="0.45">
      <c r="A404" s="92"/>
    </row>
    <row r="405" spans="1:1" ht="15.75" customHeight="1" x14ac:dyDescent="0.45">
      <c r="A405" s="92"/>
    </row>
    <row r="406" spans="1:1" ht="15.75" customHeight="1" x14ac:dyDescent="0.45">
      <c r="A406" s="92"/>
    </row>
    <row r="407" spans="1:1" ht="15.75" customHeight="1" x14ac:dyDescent="0.45">
      <c r="A407" s="92"/>
    </row>
    <row r="408" spans="1:1" ht="15.75" customHeight="1" x14ac:dyDescent="0.45">
      <c r="A408" s="92"/>
    </row>
    <row r="409" spans="1:1" ht="15.75" customHeight="1" x14ac:dyDescent="0.45">
      <c r="A409" s="92"/>
    </row>
    <row r="410" spans="1:1" ht="15.75" customHeight="1" x14ac:dyDescent="0.45">
      <c r="A410" s="92"/>
    </row>
    <row r="411" spans="1:1" ht="15.75" customHeight="1" x14ac:dyDescent="0.45">
      <c r="A411" s="92"/>
    </row>
    <row r="412" spans="1:1" ht="15.75" customHeight="1" x14ac:dyDescent="0.45">
      <c r="A412" s="92"/>
    </row>
    <row r="413" spans="1:1" ht="15.75" customHeight="1" x14ac:dyDescent="0.45">
      <c r="A413" s="92"/>
    </row>
    <row r="414" spans="1:1" ht="15.75" customHeight="1" x14ac:dyDescent="0.45">
      <c r="A414" s="92"/>
    </row>
    <row r="415" spans="1:1" ht="15.75" customHeight="1" x14ac:dyDescent="0.45">
      <c r="A415" s="92"/>
    </row>
    <row r="416" spans="1:1" ht="15.75" customHeight="1" x14ac:dyDescent="0.45">
      <c r="A416" s="92"/>
    </row>
    <row r="417" spans="1:1" ht="15.75" customHeight="1" x14ac:dyDescent="0.45">
      <c r="A417" s="92"/>
    </row>
    <row r="418" spans="1:1" ht="15.75" customHeight="1" x14ac:dyDescent="0.45">
      <c r="A418" s="92"/>
    </row>
    <row r="419" spans="1:1" ht="15.75" customHeight="1" x14ac:dyDescent="0.45">
      <c r="A419" s="92"/>
    </row>
    <row r="420" spans="1:1" ht="15.75" customHeight="1" x14ac:dyDescent="0.45">
      <c r="A420" s="92"/>
    </row>
    <row r="421" spans="1:1" ht="15.75" customHeight="1" x14ac:dyDescent="0.45">
      <c r="A421" s="92"/>
    </row>
    <row r="422" spans="1:1" ht="15.75" customHeight="1" x14ac:dyDescent="0.45">
      <c r="A422" s="92"/>
    </row>
    <row r="423" spans="1:1" ht="15.75" customHeight="1" x14ac:dyDescent="0.45">
      <c r="A423" s="92"/>
    </row>
    <row r="424" spans="1:1" ht="15.75" customHeight="1" x14ac:dyDescent="0.45">
      <c r="A424" s="92"/>
    </row>
    <row r="425" spans="1:1" ht="15.75" customHeight="1" x14ac:dyDescent="0.45">
      <c r="A425" s="92"/>
    </row>
    <row r="426" spans="1:1" ht="15.75" customHeight="1" x14ac:dyDescent="0.45">
      <c r="A426" s="92"/>
    </row>
    <row r="427" spans="1:1" ht="15.75" customHeight="1" x14ac:dyDescent="0.45">
      <c r="A427" s="92"/>
    </row>
    <row r="428" spans="1:1" ht="15.75" customHeight="1" x14ac:dyDescent="0.45">
      <c r="A428" s="92"/>
    </row>
    <row r="429" spans="1:1" ht="15.75" customHeight="1" x14ac:dyDescent="0.45">
      <c r="A429" s="92"/>
    </row>
    <row r="430" spans="1:1" ht="15.75" customHeight="1" x14ac:dyDescent="0.45">
      <c r="A430" s="92"/>
    </row>
    <row r="431" spans="1:1" ht="15.75" customHeight="1" x14ac:dyDescent="0.45">
      <c r="A431" s="92"/>
    </row>
    <row r="432" spans="1:1" ht="15.75" customHeight="1" x14ac:dyDescent="0.45">
      <c r="A432" s="92"/>
    </row>
    <row r="433" spans="1:1" ht="15.75" customHeight="1" x14ac:dyDescent="0.45">
      <c r="A433" s="92"/>
    </row>
    <row r="434" spans="1:1" ht="15.75" customHeight="1" x14ac:dyDescent="0.45">
      <c r="A434" s="92"/>
    </row>
    <row r="435" spans="1:1" ht="15.75" customHeight="1" x14ac:dyDescent="0.45">
      <c r="A435" s="92"/>
    </row>
    <row r="436" spans="1:1" ht="15.75" customHeight="1" x14ac:dyDescent="0.45">
      <c r="A436" s="92"/>
    </row>
    <row r="437" spans="1:1" ht="15.75" customHeight="1" x14ac:dyDescent="0.45">
      <c r="A437" s="92"/>
    </row>
    <row r="438" spans="1:1" ht="15.75" customHeight="1" x14ac:dyDescent="0.45">
      <c r="A438" s="92"/>
    </row>
    <row r="439" spans="1:1" ht="15.75" customHeight="1" x14ac:dyDescent="0.45">
      <c r="A439" s="92"/>
    </row>
    <row r="440" spans="1:1" ht="15.75" customHeight="1" x14ac:dyDescent="0.45">
      <c r="A440" s="92"/>
    </row>
    <row r="441" spans="1:1" ht="15.75" customHeight="1" x14ac:dyDescent="0.45">
      <c r="A441" s="92"/>
    </row>
    <row r="442" spans="1:1" ht="15.75" customHeight="1" x14ac:dyDescent="0.45">
      <c r="A442" s="92"/>
    </row>
    <row r="443" spans="1:1" ht="15.75" customHeight="1" x14ac:dyDescent="0.45">
      <c r="A443" s="92"/>
    </row>
    <row r="444" spans="1:1" ht="15.75" customHeight="1" x14ac:dyDescent="0.45">
      <c r="A444" s="92"/>
    </row>
    <row r="445" spans="1:1" ht="15.75" customHeight="1" x14ac:dyDescent="0.45">
      <c r="A445" s="92"/>
    </row>
    <row r="446" spans="1:1" ht="15.75" customHeight="1" x14ac:dyDescent="0.45">
      <c r="A446" s="92"/>
    </row>
    <row r="447" spans="1:1" ht="15.75" customHeight="1" x14ac:dyDescent="0.45">
      <c r="A447" s="92"/>
    </row>
    <row r="448" spans="1:1" ht="15.75" customHeight="1" x14ac:dyDescent="0.45">
      <c r="A448" s="92"/>
    </row>
    <row r="449" spans="1:1" ht="15.75" customHeight="1" x14ac:dyDescent="0.45">
      <c r="A449" s="92"/>
    </row>
    <row r="450" spans="1:1" ht="15.75" customHeight="1" x14ac:dyDescent="0.45">
      <c r="A450" s="92"/>
    </row>
    <row r="451" spans="1:1" ht="15.75" customHeight="1" x14ac:dyDescent="0.45">
      <c r="A451" s="92"/>
    </row>
    <row r="452" spans="1:1" ht="15.75" customHeight="1" x14ac:dyDescent="0.45">
      <c r="A452" s="92"/>
    </row>
    <row r="453" spans="1:1" ht="15.75" customHeight="1" x14ac:dyDescent="0.45">
      <c r="A453" s="92"/>
    </row>
    <row r="454" spans="1:1" ht="15.75" customHeight="1" x14ac:dyDescent="0.45">
      <c r="A454" s="92"/>
    </row>
    <row r="455" spans="1:1" ht="15.75" customHeight="1" x14ac:dyDescent="0.45">
      <c r="A455" s="92"/>
    </row>
    <row r="456" spans="1:1" ht="15.75" customHeight="1" x14ac:dyDescent="0.45">
      <c r="A456" s="92"/>
    </row>
    <row r="457" spans="1:1" ht="15.75" customHeight="1" x14ac:dyDescent="0.45">
      <c r="A457" s="92"/>
    </row>
    <row r="458" spans="1:1" ht="15.75" customHeight="1" x14ac:dyDescent="0.45">
      <c r="A458" s="92"/>
    </row>
    <row r="459" spans="1:1" ht="15.75" customHeight="1" x14ac:dyDescent="0.45">
      <c r="A459" s="92"/>
    </row>
    <row r="460" spans="1:1" ht="15.75" customHeight="1" x14ac:dyDescent="0.45">
      <c r="A460" s="92"/>
    </row>
    <row r="461" spans="1:1" ht="15.75" customHeight="1" x14ac:dyDescent="0.45">
      <c r="A461" s="92"/>
    </row>
    <row r="462" spans="1:1" ht="15.75" customHeight="1" x14ac:dyDescent="0.45">
      <c r="A462" s="92"/>
    </row>
    <row r="463" spans="1:1" ht="15.75" customHeight="1" x14ac:dyDescent="0.45">
      <c r="A463" s="92"/>
    </row>
    <row r="464" spans="1:1" ht="15.75" customHeight="1" x14ac:dyDescent="0.45">
      <c r="A464" s="92"/>
    </row>
    <row r="465" spans="1:1" ht="15.75" customHeight="1" x14ac:dyDescent="0.45">
      <c r="A465" s="92"/>
    </row>
    <row r="466" spans="1:1" ht="15.75" customHeight="1" x14ac:dyDescent="0.45">
      <c r="A466" s="92"/>
    </row>
    <row r="467" spans="1:1" ht="15.75" customHeight="1" x14ac:dyDescent="0.45">
      <c r="A467" s="92"/>
    </row>
    <row r="468" spans="1:1" ht="15.75" customHeight="1" x14ac:dyDescent="0.45">
      <c r="A468" s="92"/>
    </row>
    <row r="469" spans="1:1" ht="15.75" customHeight="1" x14ac:dyDescent="0.45">
      <c r="A469" s="92"/>
    </row>
    <row r="470" spans="1:1" ht="15.75" customHeight="1" x14ac:dyDescent="0.45">
      <c r="A470" s="92"/>
    </row>
    <row r="471" spans="1:1" ht="15.75" customHeight="1" x14ac:dyDescent="0.45">
      <c r="A471" s="92"/>
    </row>
    <row r="472" spans="1:1" ht="15.75" customHeight="1" x14ac:dyDescent="0.45">
      <c r="A472" s="92"/>
    </row>
    <row r="473" spans="1:1" ht="15.75" customHeight="1" x14ac:dyDescent="0.45">
      <c r="A473" s="92"/>
    </row>
    <row r="474" spans="1:1" ht="15.75" customHeight="1" x14ac:dyDescent="0.45">
      <c r="A474" s="92"/>
    </row>
    <row r="475" spans="1:1" ht="15.75" customHeight="1" x14ac:dyDescent="0.45">
      <c r="A475" s="92"/>
    </row>
    <row r="476" spans="1:1" ht="15.75" customHeight="1" x14ac:dyDescent="0.45">
      <c r="A476" s="92"/>
    </row>
    <row r="477" spans="1:1" ht="15.75" customHeight="1" x14ac:dyDescent="0.45">
      <c r="A477" s="92"/>
    </row>
    <row r="478" spans="1:1" ht="15.75" customHeight="1" x14ac:dyDescent="0.45">
      <c r="A478" s="92"/>
    </row>
    <row r="479" spans="1:1" ht="15.75" customHeight="1" x14ac:dyDescent="0.45">
      <c r="A479" s="92"/>
    </row>
    <row r="480" spans="1:1" ht="15.75" customHeight="1" x14ac:dyDescent="0.45">
      <c r="A480" s="92"/>
    </row>
    <row r="481" spans="1:1" ht="15.75" customHeight="1" x14ac:dyDescent="0.45">
      <c r="A481" s="92"/>
    </row>
    <row r="482" spans="1:1" ht="15.75" customHeight="1" x14ac:dyDescent="0.45">
      <c r="A482" s="92"/>
    </row>
    <row r="483" spans="1:1" ht="15.75" customHeight="1" x14ac:dyDescent="0.45">
      <c r="A483" s="92"/>
    </row>
    <row r="484" spans="1:1" ht="15.75" customHeight="1" x14ac:dyDescent="0.45">
      <c r="A484" s="92"/>
    </row>
    <row r="485" spans="1:1" ht="15.75" customHeight="1" x14ac:dyDescent="0.45">
      <c r="A485" s="92"/>
    </row>
    <row r="486" spans="1:1" ht="15.75" customHeight="1" x14ac:dyDescent="0.45">
      <c r="A486" s="92"/>
    </row>
    <row r="487" spans="1:1" ht="15.75" customHeight="1" x14ac:dyDescent="0.45">
      <c r="A487" s="92"/>
    </row>
    <row r="488" spans="1:1" ht="15.75" customHeight="1" x14ac:dyDescent="0.45">
      <c r="A488" s="92"/>
    </row>
    <row r="489" spans="1:1" ht="15.75" customHeight="1" x14ac:dyDescent="0.45">
      <c r="A489" s="92"/>
    </row>
    <row r="490" spans="1:1" ht="15.75" customHeight="1" x14ac:dyDescent="0.45">
      <c r="A490" s="92"/>
    </row>
    <row r="491" spans="1:1" ht="15.75" customHeight="1" x14ac:dyDescent="0.45">
      <c r="A491" s="92"/>
    </row>
    <row r="492" spans="1:1" ht="15.75" customHeight="1" x14ac:dyDescent="0.45">
      <c r="A492" s="92"/>
    </row>
    <row r="493" spans="1:1" ht="15.75" customHeight="1" x14ac:dyDescent="0.45">
      <c r="A493" s="92"/>
    </row>
    <row r="494" spans="1:1" ht="15.75" customHeight="1" x14ac:dyDescent="0.45">
      <c r="A494" s="92"/>
    </row>
    <row r="495" spans="1:1" ht="15.75" customHeight="1" x14ac:dyDescent="0.45">
      <c r="A495" s="92"/>
    </row>
    <row r="496" spans="1:1" ht="15.75" customHeight="1" x14ac:dyDescent="0.45">
      <c r="A496" s="92"/>
    </row>
    <row r="497" spans="1:1" ht="15.75" customHeight="1" x14ac:dyDescent="0.45">
      <c r="A497" s="92"/>
    </row>
    <row r="498" spans="1:1" ht="15.75" customHeight="1" x14ac:dyDescent="0.45">
      <c r="A498" s="92"/>
    </row>
    <row r="499" spans="1:1" ht="15.75" customHeight="1" x14ac:dyDescent="0.45">
      <c r="A499" s="92"/>
    </row>
    <row r="500" spans="1:1" ht="15.75" customHeight="1" x14ac:dyDescent="0.45">
      <c r="A500" s="92"/>
    </row>
    <row r="501" spans="1:1" ht="15.75" customHeight="1" x14ac:dyDescent="0.45">
      <c r="A501" s="92"/>
    </row>
    <row r="502" spans="1:1" ht="15.75" customHeight="1" x14ac:dyDescent="0.45">
      <c r="A502" s="92"/>
    </row>
    <row r="503" spans="1:1" ht="15.75" customHeight="1" x14ac:dyDescent="0.45">
      <c r="A503" s="92"/>
    </row>
    <row r="504" spans="1:1" ht="15.75" customHeight="1" x14ac:dyDescent="0.45">
      <c r="A504" s="92"/>
    </row>
    <row r="505" spans="1:1" ht="15.75" customHeight="1" x14ac:dyDescent="0.45">
      <c r="A505" s="92"/>
    </row>
    <row r="506" spans="1:1" ht="15.75" customHeight="1" x14ac:dyDescent="0.45">
      <c r="A506" s="92"/>
    </row>
    <row r="507" spans="1:1" ht="15.75" customHeight="1" x14ac:dyDescent="0.45">
      <c r="A507" s="92"/>
    </row>
    <row r="508" spans="1:1" ht="15.75" customHeight="1" x14ac:dyDescent="0.45">
      <c r="A508" s="92"/>
    </row>
    <row r="509" spans="1:1" ht="15.75" customHeight="1" x14ac:dyDescent="0.45">
      <c r="A509" s="92"/>
    </row>
    <row r="510" spans="1:1" ht="15.75" customHeight="1" x14ac:dyDescent="0.45">
      <c r="A510" s="92"/>
    </row>
    <row r="511" spans="1:1" ht="15.75" customHeight="1" x14ac:dyDescent="0.45">
      <c r="A511" s="92"/>
    </row>
    <row r="512" spans="1:1" ht="15.75" customHeight="1" x14ac:dyDescent="0.45">
      <c r="A512" s="92"/>
    </row>
    <row r="513" spans="1:1" ht="15.75" customHeight="1" x14ac:dyDescent="0.45">
      <c r="A513" s="92"/>
    </row>
    <row r="514" spans="1:1" ht="15.75" customHeight="1" x14ac:dyDescent="0.45">
      <c r="A514" s="92"/>
    </row>
    <row r="515" spans="1:1" ht="15.75" customHeight="1" x14ac:dyDescent="0.45">
      <c r="A515" s="92"/>
    </row>
    <row r="516" spans="1:1" ht="15.75" customHeight="1" x14ac:dyDescent="0.45">
      <c r="A516" s="92"/>
    </row>
    <row r="517" spans="1:1" ht="15.75" customHeight="1" x14ac:dyDescent="0.45">
      <c r="A517" s="92"/>
    </row>
    <row r="518" spans="1:1" ht="15.75" customHeight="1" x14ac:dyDescent="0.45">
      <c r="A518" s="92"/>
    </row>
    <row r="519" spans="1:1" ht="15.75" customHeight="1" x14ac:dyDescent="0.45">
      <c r="A519" s="92"/>
    </row>
    <row r="520" spans="1:1" ht="15.75" customHeight="1" x14ac:dyDescent="0.45">
      <c r="A520" s="92"/>
    </row>
    <row r="521" spans="1:1" ht="15.75" customHeight="1" x14ac:dyDescent="0.45">
      <c r="A521" s="92"/>
    </row>
    <row r="522" spans="1:1" ht="15.75" customHeight="1" x14ac:dyDescent="0.45">
      <c r="A522" s="92"/>
    </row>
    <row r="523" spans="1:1" ht="15.75" customHeight="1" x14ac:dyDescent="0.45">
      <c r="A523" s="92"/>
    </row>
    <row r="524" spans="1:1" ht="15.75" customHeight="1" x14ac:dyDescent="0.45">
      <c r="A524" s="92"/>
    </row>
    <row r="525" spans="1:1" ht="15.75" customHeight="1" x14ac:dyDescent="0.45">
      <c r="A525" s="92"/>
    </row>
    <row r="526" spans="1:1" ht="15.75" customHeight="1" x14ac:dyDescent="0.45">
      <c r="A526" s="92"/>
    </row>
    <row r="527" spans="1:1" ht="15.75" customHeight="1" x14ac:dyDescent="0.45">
      <c r="A527" s="92"/>
    </row>
    <row r="528" spans="1:1" ht="15.75" customHeight="1" x14ac:dyDescent="0.45">
      <c r="A528" s="92"/>
    </row>
    <row r="529" spans="1:1" ht="15.75" customHeight="1" x14ac:dyDescent="0.45">
      <c r="A529" s="92"/>
    </row>
    <row r="530" spans="1:1" ht="15.75" customHeight="1" x14ac:dyDescent="0.45">
      <c r="A530" s="92"/>
    </row>
    <row r="531" spans="1:1" ht="15.75" customHeight="1" x14ac:dyDescent="0.45">
      <c r="A531" s="92"/>
    </row>
    <row r="532" spans="1:1" ht="15.75" customHeight="1" x14ac:dyDescent="0.45">
      <c r="A532" s="92"/>
    </row>
    <row r="533" spans="1:1" ht="15.75" customHeight="1" x14ac:dyDescent="0.45">
      <c r="A533" s="92"/>
    </row>
    <row r="534" spans="1:1" ht="15.75" customHeight="1" x14ac:dyDescent="0.45">
      <c r="A534" s="92"/>
    </row>
    <row r="535" spans="1:1" ht="15.75" customHeight="1" x14ac:dyDescent="0.45">
      <c r="A535" s="92"/>
    </row>
    <row r="536" spans="1:1" ht="15.75" customHeight="1" x14ac:dyDescent="0.45">
      <c r="A536" s="92"/>
    </row>
    <row r="537" spans="1:1" ht="15.75" customHeight="1" x14ac:dyDescent="0.45">
      <c r="A537" s="92"/>
    </row>
    <row r="538" spans="1:1" ht="15.75" customHeight="1" x14ac:dyDescent="0.45">
      <c r="A538" s="92"/>
    </row>
    <row r="539" spans="1:1" ht="15.75" customHeight="1" x14ac:dyDescent="0.45">
      <c r="A539" s="92"/>
    </row>
    <row r="540" spans="1:1" ht="15.75" customHeight="1" x14ac:dyDescent="0.45">
      <c r="A540" s="92"/>
    </row>
    <row r="541" spans="1:1" ht="15.75" customHeight="1" x14ac:dyDescent="0.45">
      <c r="A541" s="92"/>
    </row>
    <row r="542" spans="1:1" ht="15.75" customHeight="1" x14ac:dyDescent="0.45">
      <c r="A542" s="92"/>
    </row>
    <row r="543" spans="1:1" ht="15.75" customHeight="1" x14ac:dyDescent="0.45">
      <c r="A543" s="92"/>
    </row>
    <row r="544" spans="1:1" ht="15.75" customHeight="1" x14ac:dyDescent="0.45">
      <c r="A544" s="92"/>
    </row>
    <row r="545" spans="1:1" ht="15.75" customHeight="1" x14ac:dyDescent="0.45">
      <c r="A545" s="92"/>
    </row>
    <row r="546" spans="1:1" ht="15.75" customHeight="1" x14ac:dyDescent="0.45">
      <c r="A546" s="92"/>
    </row>
    <row r="547" spans="1:1" ht="15.75" customHeight="1" x14ac:dyDescent="0.45">
      <c r="A547" s="92"/>
    </row>
    <row r="548" spans="1:1" ht="15.75" customHeight="1" x14ac:dyDescent="0.45">
      <c r="A548" s="92"/>
    </row>
    <row r="549" spans="1:1" ht="15.75" customHeight="1" x14ac:dyDescent="0.45">
      <c r="A549" s="92"/>
    </row>
    <row r="550" spans="1:1" ht="15.75" customHeight="1" x14ac:dyDescent="0.45">
      <c r="A550" s="92"/>
    </row>
    <row r="551" spans="1:1" ht="15.75" customHeight="1" x14ac:dyDescent="0.45">
      <c r="A551" s="92"/>
    </row>
    <row r="552" spans="1:1" ht="15.75" customHeight="1" x14ac:dyDescent="0.45">
      <c r="A552" s="92"/>
    </row>
    <row r="553" spans="1:1" ht="15.75" customHeight="1" x14ac:dyDescent="0.45">
      <c r="A553" s="92"/>
    </row>
    <row r="554" spans="1:1" ht="15.75" customHeight="1" x14ac:dyDescent="0.45">
      <c r="A554" s="92"/>
    </row>
    <row r="555" spans="1:1" ht="15.75" customHeight="1" x14ac:dyDescent="0.45">
      <c r="A555" s="92"/>
    </row>
    <row r="556" spans="1:1" ht="15.75" customHeight="1" x14ac:dyDescent="0.45">
      <c r="A556" s="92"/>
    </row>
    <row r="557" spans="1:1" ht="15.75" customHeight="1" x14ac:dyDescent="0.45">
      <c r="A557" s="92"/>
    </row>
    <row r="558" spans="1:1" ht="15.75" customHeight="1" x14ac:dyDescent="0.45">
      <c r="A558" s="92"/>
    </row>
    <row r="559" spans="1:1" ht="15.75" customHeight="1" x14ac:dyDescent="0.45">
      <c r="A559" s="92"/>
    </row>
    <row r="560" spans="1:1" ht="15.75" customHeight="1" x14ac:dyDescent="0.45">
      <c r="A560" s="92"/>
    </row>
    <row r="561" spans="1:1" ht="15.75" customHeight="1" x14ac:dyDescent="0.45">
      <c r="A561" s="92"/>
    </row>
    <row r="562" spans="1:1" ht="15.75" customHeight="1" x14ac:dyDescent="0.45">
      <c r="A562" s="92"/>
    </row>
    <row r="563" spans="1:1" ht="15.75" customHeight="1" x14ac:dyDescent="0.45">
      <c r="A563" s="92"/>
    </row>
    <row r="564" spans="1:1" ht="15.75" customHeight="1" x14ac:dyDescent="0.45">
      <c r="A564" s="92"/>
    </row>
    <row r="565" spans="1:1" ht="15.75" customHeight="1" x14ac:dyDescent="0.45">
      <c r="A565" s="92"/>
    </row>
    <row r="566" spans="1:1" ht="15.75" customHeight="1" x14ac:dyDescent="0.45">
      <c r="A566" s="92"/>
    </row>
    <row r="567" spans="1:1" ht="15.75" customHeight="1" x14ac:dyDescent="0.45">
      <c r="A567" s="92"/>
    </row>
    <row r="568" spans="1:1" ht="15.75" customHeight="1" x14ac:dyDescent="0.45">
      <c r="A568" s="92"/>
    </row>
    <row r="569" spans="1:1" ht="15.75" customHeight="1" x14ac:dyDescent="0.45">
      <c r="A569" s="92"/>
    </row>
    <row r="570" spans="1:1" ht="15.75" customHeight="1" x14ac:dyDescent="0.45">
      <c r="A570" s="92"/>
    </row>
    <row r="571" spans="1:1" ht="15.75" customHeight="1" x14ac:dyDescent="0.45">
      <c r="A571" s="92"/>
    </row>
    <row r="572" spans="1:1" ht="15.75" customHeight="1" x14ac:dyDescent="0.45">
      <c r="A572" s="92"/>
    </row>
    <row r="573" spans="1:1" ht="15.75" customHeight="1" x14ac:dyDescent="0.45">
      <c r="A573" s="92"/>
    </row>
    <row r="574" spans="1:1" ht="15.75" customHeight="1" x14ac:dyDescent="0.45">
      <c r="A574" s="92"/>
    </row>
    <row r="575" spans="1:1" ht="15.75" customHeight="1" x14ac:dyDescent="0.45">
      <c r="A575" s="92"/>
    </row>
    <row r="576" spans="1:1" ht="15.75" customHeight="1" x14ac:dyDescent="0.45">
      <c r="A576" s="92"/>
    </row>
    <row r="577" spans="1:1" ht="15.75" customHeight="1" x14ac:dyDescent="0.45">
      <c r="A577" s="92"/>
    </row>
    <row r="578" spans="1:1" ht="15.75" customHeight="1" x14ac:dyDescent="0.45">
      <c r="A578" s="92"/>
    </row>
    <row r="579" spans="1:1" ht="15.75" customHeight="1" x14ac:dyDescent="0.45">
      <c r="A579" s="92"/>
    </row>
    <row r="580" spans="1:1" ht="15.75" customHeight="1" x14ac:dyDescent="0.45">
      <c r="A580" s="92"/>
    </row>
    <row r="581" spans="1:1" ht="15.75" customHeight="1" x14ac:dyDescent="0.45">
      <c r="A581" s="92"/>
    </row>
    <row r="582" spans="1:1" ht="15.75" customHeight="1" x14ac:dyDescent="0.45">
      <c r="A582" s="92"/>
    </row>
    <row r="583" spans="1:1" ht="15.75" customHeight="1" x14ac:dyDescent="0.45">
      <c r="A583" s="92"/>
    </row>
    <row r="584" spans="1:1" ht="15.75" customHeight="1" x14ac:dyDescent="0.45">
      <c r="A584" s="92"/>
    </row>
    <row r="585" spans="1:1" ht="15.75" customHeight="1" x14ac:dyDescent="0.45">
      <c r="A585" s="92"/>
    </row>
    <row r="586" spans="1:1" ht="15.75" customHeight="1" x14ac:dyDescent="0.45">
      <c r="A586" s="92"/>
    </row>
    <row r="587" spans="1:1" ht="15.75" customHeight="1" x14ac:dyDescent="0.45">
      <c r="A587" s="92"/>
    </row>
    <row r="588" spans="1:1" ht="15.75" customHeight="1" x14ac:dyDescent="0.45">
      <c r="A588" s="92"/>
    </row>
    <row r="589" spans="1:1" ht="15.75" customHeight="1" x14ac:dyDescent="0.45">
      <c r="A589" s="92"/>
    </row>
    <row r="590" spans="1:1" ht="15.75" customHeight="1" x14ac:dyDescent="0.45">
      <c r="A590" s="92"/>
    </row>
    <row r="591" spans="1:1" ht="15.75" customHeight="1" x14ac:dyDescent="0.45">
      <c r="A591" s="92"/>
    </row>
    <row r="592" spans="1:1" ht="15.75" customHeight="1" x14ac:dyDescent="0.45">
      <c r="A592" s="92"/>
    </row>
    <row r="593" spans="1:1" ht="15.75" customHeight="1" x14ac:dyDescent="0.45">
      <c r="A593" s="92"/>
    </row>
    <row r="594" spans="1:1" ht="15.75" customHeight="1" x14ac:dyDescent="0.45">
      <c r="A594" s="92"/>
    </row>
    <row r="595" spans="1:1" ht="15.75" customHeight="1" x14ac:dyDescent="0.45">
      <c r="A595" s="92"/>
    </row>
    <row r="596" spans="1:1" ht="15.75" customHeight="1" x14ac:dyDescent="0.45">
      <c r="A596" s="92"/>
    </row>
    <row r="597" spans="1:1" ht="15.75" customHeight="1" x14ac:dyDescent="0.45">
      <c r="A597" s="92"/>
    </row>
    <row r="598" spans="1:1" ht="15.75" customHeight="1" x14ac:dyDescent="0.45">
      <c r="A598" s="92"/>
    </row>
    <row r="599" spans="1:1" ht="15.75" customHeight="1" x14ac:dyDescent="0.45">
      <c r="A599" s="92"/>
    </row>
    <row r="600" spans="1:1" ht="15.75" customHeight="1" x14ac:dyDescent="0.45">
      <c r="A600" s="92"/>
    </row>
    <row r="601" spans="1:1" ht="15.75" customHeight="1" x14ac:dyDescent="0.45">
      <c r="A601" s="92"/>
    </row>
    <row r="602" spans="1:1" ht="15.75" customHeight="1" x14ac:dyDescent="0.45">
      <c r="A602" s="92"/>
    </row>
    <row r="603" spans="1:1" ht="15.75" customHeight="1" x14ac:dyDescent="0.45">
      <c r="A603" s="92"/>
    </row>
    <row r="604" spans="1:1" ht="15.75" customHeight="1" x14ac:dyDescent="0.45">
      <c r="A604" s="92"/>
    </row>
    <row r="605" spans="1:1" ht="15.75" customHeight="1" x14ac:dyDescent="0.45">
      <c r="A605" s="92"/>
    </row>
    <row r="606" spans="1:1" ht="15.75" customHeight="1" x14ac:dyDescent="0.45">
      <c r="A606" s="92"/>
    </row>
    <row r="607" spans="1:1" ht="15.75" customHeight="1" x14ac:dyDescent="0.45">
      <c r="A607" s="92"/>
    </row>
    <row r="608" spans="1:1" ht="15.75" customHeight="1" x14ac:dyDescent="0.45">
      <c r="A608" s="92"/>
    </row>
    <row r="609" spans="1:1" ht="15.75" customHeight="1" x14ac:dyDescent="0.45">
      <c r="A609" s="92"/>
    </row>
    <row r="610" spans="1:1" ht="15.75" customHeight="1" x14ac:dyDescent="0.45">
      <c r="A610" s="92"/>
    </row>
    <row r="611" spans="1:1" ht="15.75" customHeight="1" x14ac:dyDescent="0.45">
      <c r="A611" s="92"/>
    </row>
    <row r="612" spans="1:1" ht="15.75" customHeight="1" x14ac:dyDescent="0.45">
      <c r="A612" s="92"/>
    </row>
    <row r="613" spans="1:1" ht="15.75" customHeight="1" x14ac:dyDescent="0.45">
      <c r="A613" s="92"/>
    </row>
    <row r="614" spans="1:1" ht="15.75" customHeight="1" x14ac:dyDescent="0.45">
      <c r="A614" s="92"/>
    </row>
    <row r="615" spans="1:1" ht="15.75" customHeight="1" x14ac:dyDescent="0.45">
      <c r="A615" s="92"/>
    </row>
    <row r="616" spans="1:1" ht="15.75" customHeight="1" x14ac:dyDescent="0.45">
      <c r="A616" s="92"/>
    </row>
    <row r="617" spans="1:1" ht="15.75" customHeight="1" x14ac:dyDescent="0.45">
      <c r="A617" s="92"/>
    </row>
    <row r="618" spans="1:1" ht="15.75" customHeight="1" x14ac:dyDescent="0.45">
      <c r="A618" s="92"/>
    </row>
    <row r="619" spans="1:1" ht="15.75" customHeight="1" x14ac:dyDescent="0.45">
      <c r="A619" s="92"/>
    </row>
    <row r="620" spans="1:1" ht="15.75" customHeight="1" x14ac:dyDescent="0.45">
      <c r="A620" s="92"/>
    </row>
    <row r="621" spans="1:1" ht="15.75" customHeight="1" x14ac:dyDescent="0.45">
      <c r="A621" s="92"/>
    </row>
    <row r="622" spans="1:1" ht="15.75" customHeight="1" x14ac:dyDescent="0.45">
      <c r="A622" s="92"/>
    </row>
    <row r="623" spans="1:1" ht="15.75" customHeight="1" x14ac:dyDescent="0.45">
      <c r="A623" s="92"/>
    </row>
    <row r="624" spans="1:1" ht="15.75" customHeight="1" x14ac:dyDescent="0.45">
      <c r="A624" s="92"/>
    </row>
    <row r="625" spans="1:1" ht="15.75" customHeight="1" x14ac:dyDescent="0.45">
      <c r="A625" s="92"/>
    </row>
    <row r="626" spans="1:1" ht="15.75" customHeight="1" x14ac:dyDescent="0.45">
      <c r="A626" s="92"/>
    </row>
    <row r="627" spans="1:1" ht="15.75" customHeight="1" x14ac:dyDescent="0.45">
      <c r="A627" s="92"/>
    </row>
    <row r="628" spans="1:1" ht="15.75" customHeight="1" x14ac:dyDescent="0.45">
      <c r="A628" s="92"/>
    </row>
    <row r="629" spans="1:1" ht="15.75" customHeight="1" x14ac:dyDescent="0.45">
      <c r="A629" s="92"/>
    </row>
    <row r="630" spans="1:1" ht="15.75" customHeight="1" x14ac:dyDescent="0.45">
      <c r="A630" s="92"/>
    </row>
    <row r="631" spans="1:1" ht="15.75" customHeight="1" x14ac:dyDescent="0.45">
      <c r="A631" s="92"/>
    </row>
    <row r="632" spans="1:1" ht="15.75" customHeight="1" x14ac:dyDescent="0.45">
      <c r="A632" s="92"/>
    </row>
    <row r="633" spans="1:1" ht="15.75" customHeight="1" x14ac:dyDescent="0.45">
      <c r="A633" s="92"/>
    </row>
    <row r="634" spans="1:1" ht="15.75" customHeight="1" x14ac:dyDescent="0.45">
      <c r="A634" s="92"/>
    </row>
    <row r="635" spans="1:1" ht="15.75" customHeight="1" x14ac:dyDescent="0.45">
      <c r="A635" s="92"/>
    </row>
    <row r="636" spans="1:1" ht="15.75" customHeight="1" x14ac:dyDescent="0.45">
      <c r="A636" s="92"/>
    </row>
    <row r="637" spans="1:1" ht="15.75" customHeight="1" x14ac:dyDescent="0.45">
      <c r="A637" s="92"/>
    </row>
    <row r="638" spans="1:1" ht="15.75" customHeight="1" x14ac:dyDescent="0.45">
      <c r="A638" s="92"/>
    </row>
    <row r="639" spans="1:1" ht="15.75" customHeight="1" x14ac:dyDescent="0.45">
      <c r="A639" s="92"/>
    </row>
    <row r="640" spans="1:1" ht="15.75" customHeight="1" x14ac:dyDescent="0.45">
      <c r="A640" s="92"/>
    </row>
    <row r="641" spans="1:1" ht="15.75" customHeight="1" x14ac:dyDescent="0.45">
      <c r="A641" s="92"/>
    </row>
    <row r="642" spans="1:1" ht="15.75" customHeight="1" x14ac:dyDescent="0.45">
      <c r="A642" s="92"/>
    </row>
    <row r="643" spans="1:1" ht="15.75" customHeight="1" x14ac:dyDescent="0.45">
      <c r="A643" s="92"/>
    </row>
    <row r="644" spans="1:1" ht="15.75" customHeight="1" x14ac:dyDescent="0.45">
      <c r="A644" s="92"/>
    </row>
    <row r="645" spans="1:1" ht="15.75" customHeight="1" x14ac:dyDescent="0.45">
      <c r="A645" s="92"/>
    </row>
    <row r="646" spans="1:1" ht="15.75" customHeight="1" x14ac:dyDescent="0.45">
      <c r="A646" s="92"/>
    </row>
    <row r="647" spans="1:1" ht="15.75" customHeight="1" x14ac:dyDescent="0.45">
      <c r="A647" s="92"/>
    </row>
    <row r="648" spans="1:1" ht="15.75" customHeight="1" x14ac:dyDescent="0.45">
      <c r="A648" s="92"/>
    </row>
    <row r="649" spans="1:1" ht="15.75" customHeight="1" x14ac:dyDescent="0.45">
      <c r="A649" s="92"/>
    </row>
    <row r="650" spans="1:1" ht="15.75" customHeight="1" x14ac:dyDescent="0.45">
      <c r="A650" s="92"/>
    </row>
    <row r="651" spans="1:1" ht="15.75" customHeight="1" x14ac:dyDescent="0.45">
      <c r="A651" s="92"/>
    </row>
    <row r="652" spans="1:1" ht="15.75" customHeight="1" x14ac:dyDescent="0.45">
      <c r="A652" s="92"/>
    </row>
    <row r="653" spans="1:1" ht="15.75" customHeight="1" x14ac:dyDescent="0.45">
      <c r="A653" s="92"/>
    </row>
    <row r="654" spans="1:1" ht="15.75" customHeight="1" x14ac:dyDescent="0.45">
      <c r="A654" s="92"/>
    </row>
    <row r="655" spans="1:1" ht="15.75" customHeight="1" x14ac:dyDescent="0.45">
      <c r="A655" s="92"/>
    </row>
    <row r="656" spans="1:1" ht="15.75" customHeight="1" x14ac:dyDescent="0.45">
      <c r="A656" s="92"/>
    </row>
    <row r="657" spans="1:1" ht="15.75" customHeight="1" x14ac:dyDescent="0.45">
      <c r="A657" s="92"/>
    </row>
    <row r="658" spans="1:1" ht="15.75" customHeight="1" x14ac:dyDescent="0.45">
      <c r="A658" s="92"/>
    </row>
    <row r="659" spans="1:1" ht="15.75" customHeight="1" x14ac:dyDescent="0.45">
      <c r="A659" s="92"/>
    </row>
    <row r="660" spans="1:1" ht="15.75" customHeight="1" x14ac:dyDescent="0.45">
      <c r="A660" s="92"/>
    </row>
    <row r="661" spans="1:1" ht="15.75" customHeight="1" x14ac:dyDescent="0.45">
      <c r="A661" s="92"/>
    </row>
    <row r="662" spans="1:1" ht="15.75" customHeight="1" x14ac:dyDescent="0.45">
      <c r="A662" s="92"/>
    </row>
    <row r="663" spans="1:1" ht="15.75" customHeight="1" x14ac:dyDescent="0.45">
      <c r="A663" s="92"/>
    </row>
    <row r="664" spans="1:1" ht="15.75" customHeight="1" x14ac:dyDescent="0.45">
      <c r="A664" s="92"/>
    </row>
    <row r="665" spans="1:1" ht="15.75" customHeight="1" x14ac:dyDescent="0.45">
      <c r="A665" s="92"/>
    </row>
    <row r="666" spans="1:1" ht="15.75" customHeight="1" x14ac:dyDescent="0.45">
      <c r="A666" s="92"/>
    </row>
    <row r="667" spans="1:1" ht="15.75" customHeight="1" x14ac:dyDescent="0.45">
      <c r="A667" s="92"/>
    </row>
    <row r="668" spans="1:1" ht="15.75" customHeight="1" x14ac:dyDescent="0.45">
      <c r="A668" s="92"/>
    </row>
    <row r="669" spans="1:1" ht="15.75" customHeight="1" x14ac:dyDescent="0.45">
      <c r="A669" s="92"/>
    </row>
    <row r="670" spans="1:1" ht="15.75" customHeight="1" x14ac:dyDescent="0.45">
      <c r="A670" s="92"/>
    </row>
    <row r="671" spans="1:1" ht="15.75" customHeight="1" x14ac:dyDescent="0.45">
      <c r="A671" s="92"/>
    </row>
    <row r="672" spans="1:1" ht="15.75" customHeight="1" x14ac:dyDescent="0.45">
      <c r="A672" s="92"/>
    </row>
    <row r="673" spans="1:1" ht="15.75" customHeight="1" x14ac:dyDescent="0.45">
      <c r="A673" s="92"/>
    </row>
    <row r="674" spans="1:1" ht="15.75" customHeight="1" x14ac:dyDescent="0.45">
      <c r="A674" s="92"/>
    </row>
    <row r="675" spans="1:1" ht="15.75" customHeight="1" x14ac:dyDescent="0.45">
      <c r="A675" s="92"/>
    </row>
    <row r="676" spans="1:1" ht="15.75" customHeight="1" x14ac:dyDescent="0.45">
      <c r="A676" s="92"/>
    </row>
    <row r="677" spans="1:1" ht="15.75" customHeight="1" x14ac:dyDescent="0.45">
      <c r="A677" s="92"/>
    </row>
    <row r="678" spans="1:1" ht="15.75" customHeight="1" x14ac:dyDescent="0.45">
      <c r="A678" s="92"/>
    </row>
    <row r="679" spans="1:1" ht="15.75" customHeight="1" x14ac:dyDescent="0.45">
      <c r="A679" s="92"/>
    </row>
    <row r="680" spans="1:1" ht="15.75" customHeight="1" x14ac:dyDescent="0.45">
      <c r="A680" s="92"/>
    </row>
    <row r="681" spans="1:1" ht="15.75" customHeight="1" x14ac:dyDescent="0.45">
      <c r="A681" s="92"/>
    </row>
    <row r="682" spans="1:1" ht="15.75" customHeight="1" x14ac:dyDescent="0.45">
      <c r="A682" s="92"/>
    </row>
    <row r="683" spans="1:1" ht="15.75" customHeight="1" x14ac:dyDescent="0.45">
      <c r="A683" s="92"/>
    </row>
    <row r="684" spans="1:1" ht="15.75" customHeight="1" x14ac:dyDescent="0.45">
      <c r="A684" s="92"/>
    </row>
    <row r="685" spans="1:1" ht="15.75" customHeight="1" x14ac:dyDescent="0.45">
      <c r="A685" s="92"/>
    </row>
    <row r="686" spans="1:1" ht="15.75" customHeight="1" x14ac:dyDescent="0.45">
      <c r="A686" s="92"/>
    </row>
    <row r="687" spans="1:1" ht="15.75" customHeight="1" x14ac:dyDescent="0.45">
      <c r="A687" s="92"/>
    </row>
    <row r="688" spans="1:1" ht="15.75" customHeight="1" x14ac:dyDescent="0.45">
      <c r="A688" s="92"/>
    </row>
    <row r="689" spans="1:1" ht="15.75" customHeight="1" x14ac:dyDescent="0.45">
      <c r="A689" s="92"/>
    </row>
    <row r="690" spans="1:1" ht="15.75" customHeight="1" x14ac:dyDescent="0.45">
      <c r="A690" s="92"/>
    </row>
    <row r="691" spans="1:1" ht="15.75" customHeight="1" x14ac:dyDescent="0.45">
      <c r="A691" s="92"/>
    </row>
    <row r="692" spans="1:1" ht="15.75" customHeight="1" x14ac:dyDescent="0.45">
      <c r="A692" s="92"/>
    </row>
    <row r="693" spans="1:1" ht="15.75" customHeight="1" x14ac:dyDescent="0.45">
      <c r="A693" s="92"/>
    </row>
    <row r="694" spans="1:1" ht="15.75" customHeight="1" x14ac:dyDescent="0.45">
      <c r="A694" s="92"/>
    </row>
    <row r="695" spans="1:1" ht="15.75" customHeight="1" x14ac:dyDescent="0.45">
      <c r="A695" s="92"/>
    </row>
    <row r="696" spans="1:1" ht="15.75" customHeight="1" x14ac:dyDescent="0.45">
      <c r="A696" s="92"/>
    </row>
    <row r="697" spans="1:1" ht="15.75" customHeight="1" x14ac:dyDescent="0.45">
      <c r="A697" s="92"/>
    </row>
    <row r="698" spans="1:1" ht="15.75" customHeight="1" x14ac:dyDescent="0.45">
      <c r="A698" s="92"/>
    </row>
    <row r="699" spans="1:1" ht="15.75" customHeight="1" x14ac:dyDescent="0.45">
      <c r="A699" s="92"/>
    </row>
    <row r="700" spans="1:1" ht="15.75" customHeight="1" x14ac:dyDescent="0.45">
      <c r="A700" s="92"/>
    </row>
    <row r="701" spans="1:1" ht="15.75" customHeight="1" x14ac:dyDescent="0.45">
      <c r="A701" s="92"/>
    </row>
    <row r="702" spans="1:1" ht="15.75" customHeight="1" x14ac:dyDescent="0.45">
      <c r="A702" s="92"/>
    </row>
    <row r="703" spans="1:1" ht="15.75" customHeight="1" x14ac:dyDescent="0.45">
      <c r="A703" s="92"/>
    </row>
    <row r="704" spans="1:1" ht="15.75" customHeight="1" x14ac:dyDescent="0.45">
      <c r="A704" s="92"/>
    </row>
    <row r="705" spans="1:1" ht="15.75" customHeight="1" x14ac:dyDescent="0.45">
      <c r="A705" s="92"/>
    </row>
    <row r="706" spans="1:1" ht="15.75" customHeight="1" x14ac:dyDescent="0.45">
      <c r="A706" s="92"/>
    </row>
    <row r="707" spans="1:1" ht="15.75" customHeight="1" x14ac:dyDescent="0.45">
      <c r="A707" s="92"/>
    </row>
    <row r="708" spans="1:1" ht="15.75" customHeight="1" x14ac:dyDescent="0.45">
      <c r="A708" s="92"/>
    </row>
    <row r="709" spans="1:1" ht="15.75" customHeight="1" x14ac:dyDescent="0.45">
      <c r="A709" s="92"/>
    </row>
    <row r="710" spans="1:1" ht="15.75" customHeight="1" x14ac:dyDescent="0.45">
      <c r="A710" s="92"/>
    </row>
    <row r="711" spans="1:1" ht="15.75" customHeight="1" x14ac:dyDescent="0.45">
      <c r="A711" s="92"/>
    </row>
    <row r="712" spans="1:1" ht="15.75" customHeight="1" x14ac:dyDescent="0.45">
      <c r="A712" s="92"/>
    </row>
    <row r="713" spans="1:1" ht="15.75" customHeight="1" x14ac:dyDescent="0.45">
      <c r="A713" s="92"/>
    </row>
    <row r="714" spans="1:1" ht="15.75" customHeight="1" x14ac:dyDescent="0.45">
      <c r="A714" s="92"/>
    </row>
    <row r="715" spans="1:1" ht="15.75" customHeight="1" x14ac:dyDescent="0.45">
      <c r="A715" s="92"/>
    </row>
    <row r="716" spans="1:1" ht="15.75" customHeight="1" x14ac:dyDescent="0.45">
      <c r="A716" s="92"/>
    </row>
    <row r="717" spans="1:1" ht="15.75" customHeight="1" x14ac:dyDescent="0.45">
      <c r="A717" s="92"/>
    </row>
    <row r="718" spans="1:1" ht="15.75" customHeight="1" x14ac:dyDescent="0.45">
      <c r="A718" s="92"/>
    </row>
    <row r="719" spans="1:1" ht="15.75" customHeight="1" x14ac:dyDescent="0.45">
      <c r="A719" s="92"/>
    </row>
    <row r="720" spans="1:1" ht="15.75" customHeight="1" x14ac:dyDescent="0.45">
      <c r="A720" s="92"/>
    </row>
    <row r="721" spans="1:1" ht="15.75" customHeight="1" x14ac:dyDescent="0.45">
      <c r="A721" s="92"/>
    </row>
    <row r="722" spans="1:1" ht="15.75" customHeight="1" x14ac:dyDescent="0.45">
      <c r="A722" s="92"/>
    </row>
    <row r="723" spans="1:1" ht="15.75" customHeight="1" x14ac:dyDescent="0.45">
      <c r="A723" s="92"/>
    </row>
    <row r="724" spans="1:1" ht="15.75" customHeight="1" x14ac:dyDescent="0.45">
      <c r="A724" s="92"/>
    </row>
    <row r="725" spans="1:1" ht="15.75" customHeight="1" x14ac:dyDescent="0.45">
      <c r="A725" s="92"/>
    </row>
    <row r="726" spans="1:1" ht="15.75" customHeight="1" x14ac:dyDescent="0.45">
      <c r="A726" s="92"/>
    </row>
    <row r="727" spans="1:1" ht="15.75" customHeight="1" x14ac:dyDescent="0.45">
      <c r="A727" s="92"/>
    </row>
    <row r="728" spans="1:1" ht="15.75" customHeight="1" x14ac:dyDescent="0.45">
      <c r="A728" s="92"/>
    </row>
    <row r="729" spans="1:1" ht="15.75" customHeight="1" x14ac:dyDescent="0.45">
      <c r="A729" s="92"/>
    </row>
    <row r="730" spans="1:1" ht="15.75" customHeight="1" x14ac:dyDescent="0.45">
      <c r="A730" s="92"/>
    </row>
    <row r="731" spans="1:1" ht="15.75" customHeight="1" x14ac:dyDescent="0.45">
      <c r="A731" s="92"/>
    </row>
    <row r="732" spans="1:1" ht="15.75" customHeight="1" x14ac:dyDescent="0.45">
      <c r="A732" s="92"/>
    </row>
    <row r="733" spans="1:1" ht="15.75" customHeight="1" x14ac:dyDescent="0.45">
      <c r="A733" s="92"/>
    </row>
    <row r="734" spans="1:1" ht="15.75" customHeight="1" x14ac:dyDescent="0.45">
      <c r="A734" s="92"/>
    </row>
    <row r="735" spans="1:1" ht="15.75" customHeight="1" x14ac:dyDescent="0.45">
      <c r="A735" s="92"/>
    </row>
    <row r="736" spans="1:1" ht="15.75" customHeight="1" x14ac:dyDescent="0.45">
      <c r="A736" s="92"/>
    </row>
    <row r="737" spans="1:1" ht="15.75" customHeight="1" x14ac:dyDescent="0.45">
      <c r="A737" s="92"/>
    </row>
    <row r="738" spans="1:1" ht="15.75" customHeight="1" x14ac:dyDescent="0.45">
      <c r="A738" s="92"/>
    </row>
    <row r="739" spans="1:1" ht="15.75" customHeight="1" x14ac:dyDescent="0.45">
      <c r="A739" s="92"/>
    </row>
    <row r="740" spans="1:1" ht="15.75" customHeight="1" x14ac:dyDescent="0.45">
      <c r="A740" s="92"/>
    </row>
    <row r="741" spans="1:1" ht="15.75" customHeight="1" x14ac:dyDescent="0.45">
      <c r="A741" s="92"/>
    </row>
    <row r="742" spans="1:1" ht="15.75" customHeight="1" x14ac:dyDescent="0.45">
      <c r="A742" s="92"/>
    </row>
    <row r="743" spans="1:1" ht="15.75" customHeight="1" x14ac:dyDescent="0.45">
      <c r="A743" s="92"/>
    </row>
    <row r="744" spans="1:1" ht="15.75" customHeight="1" x14ac:dyDescent="0.45">
      <c r="A744" s="92"/>
    </row>
    <row r="745" spans="1:1" ht="15.75" customHeight="1" x14ac:dyDescent="0.45">
      <c r="A745" s="92"/>
    </row>
    <row r="746" spans="1:1" ht="15.75" customHeight="1" x14ac:dyDescent="0.45">
      <c r="A746" s="92"/>
    </row>
    <row r="747" spans="1:1" ht="15.75" customHeight="1" x14ac:dyDescent="0.45">
      <c r="A747" s="92"/>
    </row>
    <row r="748" spans="1:1" ht="15.75" customHeight="1" x14ac:dyDescent="0.45">
      <c r="A748" s="92"/>
    </row>
    <row r="749" spans="1:1" ht="15.75" customHeight="1" x14ac:dyDescent="0.45">
      <c r="A749" s="92"/>
    </row>
    <row r="750" spans="1:1" ht="15.75" customHeight="1" x14ac:dyDescent="0.45">
      <c r="A750" s="92"/>
    </row>
    <row r="751" spans="1:1" ht="15.75" customHeight="1" x14ac:dyDescent="0.45">
      <c r="A751" s="92"/>
    </row>
    <row r="752" spans="1:1" ht="15.75" customHeight="1" x14ac:dyDescent="0.45">
      <c r="A752" s="92"/>
    </row>
    <row r="753" spans="1:1" ht="15.75" customHeight="1" x14ac:dyDescent="0.45">
      <c r="A753" s="92"/>
    </row>
    <row r="754" spans="1:1" ht="15.75" customHeight="1" x14ac:dyDescent="0.45">
      <c r="A754" s="92"/>
    </row>
    <row r="755" spans="1:1" ht="15.75" customHeight="1" x14ac:dyDescent="0.45">
      <c r="A755" s="92"/>
    </row>
    <row r="756" spans="1:1" ht="15.75" customHeight="1" x14ac:dyDescent="0.45">
      <c r="A756" s="92"/>
    </row>
    <row r="757" spans="1:1" ht="15.75" customHeight="1" x14ac:dyDescent="0.45">
      <c r="A757" s="92"/>
    </row>
    <row r="758" spans="1:1" ht="15.75" customHeight="1" x14ac:dyDescent="0.45">
      <c r="A758" s="92"/>
    </row>
    <row r="759" spans="1:1" ht="15.75" customHeight="1" x14ac:dyDescent="0.45">
      <c r="A759" s="92"/>
    </row>
    <row r="760" spans="1:1" ht="15.75" customHeight="1" x14ac:dyDescent="0.45">
      <c r="A760" s="92"/>
    </row>
    <row r="761" spans="1:1" ht="15.75" customHeight="1" x14ac:dyDescent="0.45">
      <c r="A761" s="92"/>
    </row>
    <row r="762" spans="1:1" ht="15.75" customHeight="1" x14ac:dyDescent="0.45">
      <c r="A762" s="92"/>
    </row>
    <row r="763" spans="1:1" ht="15.75" customHeight="1" x14ac:dyDescent="0.45">
      <c r="A763" s="92"/>
    </row>
    <row r="764" spans="1:1" ht="15.75" customHeight="1" x14ac:dyDescent="0.45">
      <c r="A764" s="92"/>
    </row>
    <row r="765" spans="1:1" ht="15.75" customHeight="1" x14ac:dyDescent="0.45">
      <c r="A765" s="92"/>
    </row>
    <row r="766" spans="1:1" ht="15.75" customHeight="1" x14ac:dyDescent="0.45">
      <c r="A766" s="92"/>
    </row>
    <row r="767" spans="1:1" ht="15.75" customHeight="1" x14ac:dyDescent="0.45">
      <c r="A767" s="92"/>
    </row>
    <row r="768" spans="1:1" ht="15.75" customHeight="1" x14ac:dyDescent="0.45">
      <c r="A768" s="92"/>
    </row>
    <row r="769" spans="1:1" ht="15.75" customHeight="1" x14ac:dyDescent="0.45">
      <c r="A769" s="92"/>
    </row>
    <row r="770" spans="1:1" ht="15.75" customHeight="1" x14ac:dyDescent="0.45">
      <c r="A770" s="92"/>
    </row>
    <row r="771" spans="1:1" ht="15.75" customHeight="1" x14ac:dyDescent="0.45">
      <c r="A771" s="92"/>
    </row>
    <row r="772" spans="1:1" ht="15.75" customHeight="1" x14ac:dyDescent="0.45">
      <c r="A772" s="92"/>
    </row>
    <row r="773" spans="1:1" ht="15.75" customHeight="1" x14ac:dyDescent="0.45">
      <c r="A773" s="92"/>
    </row>
    <row r="774" spans="1:1" ht="15.75" customHeight="1" x14ac:dyDescent="0.45">
      <c r="A774" s="92"/>
    </row>
    <row r="775" spans="1:1" ht="15.75" customHeight="1" x14ac:dyDescent="0.45">
      <c r="A775" s="92"/>
    </row>
    <row r="776" spans="1:1" ht="15.75" customHeight="1" x14ac:dyDescent="0.45">
      <c r="A776" s="92"/>
    </row>
    <row r="777" spans="1:1" ht="15.75" customHeight="1" x14ac:dyDescent="0.45">
      <c r="A777" s="92"/>
    </row>
    <row r="778" spans="1:1" ht="15.75" customHeight="1" x14ac:dyDescent="0.45">
      <c r="A778" s="92"/>
    </row>
    <row r="779" spans="1:1" ht="15.75" customHeight="1" x14ac:dyDescent="0.45">
      <c r="A779" s="92"/>
    </row>
    <row r="780" spans="1:1" ht="15.75" customHeight="1" x14ac:dyDescent="0.45">
      <c r="A780" s="92"/>
    </row>
    <row r="781" spans="1:1" ht="15.75" customHeight="1" x14ac:dyDescent="0.45">
      <c r="A781" s="92"/>
    </row>
    <row r="782" spans="1:1" ht="15.75" customHeight="1" x14ac:dyDescent="0.45">
      <c r="A782" s="92"/>
    </row>
    <row r="783" spans="1:1" ht="15.75" customHeight="1" x14ac:dyDescent="0.45">
      <c r="A783" s="92"/>
    </row>
    <row r="784" spans="1:1" ht="15.75" customHeight="1" x14ac:dyDescent="0.45">
      <c r="A784" s="92"/>
    </row>
    <row r="785" spans="1:1" ht="15.75" customHeight="1" x14ac:dyDescent="0.45">
      <c r="A785" s="92"/>
    </row>
    <row r="786" spans="1:1" ht="15.75" customHeight="1" x14ac:dyDescent="0.45">
      <c r="A786" s="92"/>
    </row>
    <row r="787" spans="1:1" ht="15.75" customHeight="1" x14ac:dyDescent="0.45">
      <c r="A787" s="92"/>
    </row>
    <row r="788" spans="1:1" ht="15.75" customHeight="1" x14ac:dyDescent="0.45">
      <c r="A788" s="92"/>
    </row>
    <row r="789" spans="1:1" ht="15.75" customHeight="1" x14ac:dyDescent="0.45">
      <c r="A789" s="92"/>
    </row>
    <row r="790" spans="1:1" ht="15.75" customHeight="1" x14ac:dyDescent="0.45">
      <c r="A790" s="92"/>
    </row>
    <row r="791" spans="1:1" ht="15.75" customHeight="1" x14ac:dyDescent="0.45">
      <c r="A791" s="92"/>
    </row>
    <row r="792" spans="1:1" ht="15.75" customHeight="1" x14ac:dyDescent="0.45">
      <c r="A792" s="92"/>
    </row>
    <row r="793" spans="1:1" ht="15.75" customHeight="1" x14ac:dyDescent="0.45">
      <c r="A793" s="92"/>
    </row>
    <row r="794" spans="1:1" ht="15.75" customHeight="1" x14ac:dyDescent="0.45">
      <c r="A794" s="92"/>
    </row>
    <row r="795" spans="1:1" ht="15.75" customHeight="1" x14ac:dyDescent="0.45">
      <c r="A795" s="92"/>
    </row>
    <row r="796" spans="1:1" ht="15.75" customHeight="1" x14ac:dyDescent="0.45">
      <c r="A796" s="92"/>
    </row>
    <row r="797" spans="1:1" ht="15.75" customHeight="1" x14ac:dyDescent="0.45">
      <c r="A797" s="92"/>
    </row>
    <row r="798" spans="1:1" ht="15.75" customHeight="1" x14ac:dyDescent="0.45">
      <c r="A798" s="92"/>
    </row>
    <row r="799" spans="1:1" ht="15.75" customHeight="1" x14ac:dyDescent="0.45">
      <c r="A799" s="92"/>
    </row>
    <row r="800" spans="1:1" ht="15.75" customHeight="1" x14ac:dyDescent="0.45">
      <c r="A800" s="92"/>
    </row>
    <row r="801" spans="1:1" ht="15.75" customHeight="1" x14ac:dyDescent="0.45">
      <c r="A801" s="92"/>
    </row>
    <row r="802" spans="1:1" ht="15.75" customHeight="1" x14ac:dyDescent="0.45">
      <c r="A802" s="92"/>
    </row>
    <row r="803" spans="1:1" ht="15.75" customHeight="1" x14ac:dyDescent="0.45">
      <c r="A803" s="92"/>
    </row>
    <row r="804" spans="1:1" ht="15.75" customHeight="1" x14ac:dyDescent="0.45">
      <c r="A804" s="92"/>
    </row>
    <row r="805" spans="1:1" ht="15.75" customHeight="1" x14ac:dyDescent="0.45">
      <c r="A805" s="92"/>
    </row>
    <row r="806" spans="1:1" ht="15.75" customHeight="1" x14ac:dyDescent="0.45">
      <c r="A806" s="92"/>
    </row>
    <row r="807" spans="1:1" ht="15.75" customHeight="1" x14ac:dyDescent="0.45">
      <c r="A807" s="92"/>
    </row>
    <row r="808" spans="1:1" ht="15.75" customHeight="1" x14ac:dyDescent="0.45">
      <c r="A808" s="92"/>
    </row>
    <row r="809" spans="1:1" ht="15.75" customHeight="1" x14ac:dyDescent="0.45">
      <c r="A809" s="92"/>
    </row>
    <row r="810" spans="1:1" ht="15.75" customHeight="1" x14ac:dyDescent="0.45">
      <c r="A810" s="92"/>
    </row>
    <row r="811" spans="1:1" ht="15.75" customHeight="1" x14ac:dyDescent="0.45">
      <c r="A811" s="92"/>
    </row>
    <row r="812" spans="1:1" ht="15.75" customHeight="1" x14ac:dyDescent="0.45">
      <c r="A812" s="92"/>
    </row>
    <row r="813" spans="1:1" ht="15.75" customHeight="1" x14ac:dyDescent="0.45">
      <c r="A813" s="92"/>
    </row>
    <row r="814" spans="1:1" ht="15.75" customHeight="1" x14ac:dyDescent="0.45">
      <c r="A814" s="92"/>
    </row>
    <row r="815" spans="1:1" ht="15.75" customHeight="1" x14ac:dyDescent="0.45">
      <c r="A815" s="92"/>
    </row>
    <row r="816" spans="1:1" ht="15.75" customHeight="1" x14ac:dyDescent="0.45">
      <c r="A816" s="92"/>
    </row>
    <row r="817" spans="1:1" ht="15.75" customHeight="1" x14ac:dyDescent="0.45">
      <c r="A817" s="92"/>
    </row>
    <row r="818" spans="1:1" ht="15.75" customHeight="1" x14ac:dyDescent="0.45">
      <c r="A818" s="92"/>
    </row>
    <row r="819" spans="1:1" ht="15.75" customHeight="1" x14ac:dyDescent="0.45">
      <c r="A819" s="92"/>
    </row>
    <row r="820" spans="1:1" ht="15.75" customHeight="1" x14ac:dyDescent="0.45">
      <c r="A820" s="92"/>
    </row>
    <row r="821" spans="1:1" ht="15.75" customHeight="1" x14ac:dyDescent="0.45">
      <c r="A821" s="92"/>
    </row>
    <row r="822" spans="1:1" ht="15.75" customHeight="1" x14ac:dyDescent="0.45">
      <c r="A822" s="92"/>
    </row>
    <row r="823" spans="1:1" ht="15.75" customHeight="1" x14ac:dyDescent="0.45">
      <c r="A823" s="92"/>
    </row>
    <row r="824" spans="1:1" ht="15.75" customHeight="1" x14ac:dyDescent="0.45">
      <c r="A824" s="92"/>
    </row>
    <row r="825" spans="1:1" ht="15.75" customHeight="1" x14ac:dyDescent="0.45">
      <c r="A825" s="92"/>
    </row>
    <row r="826" spans="1:1" ht="15.75" customHeight="1" x14ac:dyDescent="0.45">
      <c r="A826" s="92"/>
    </row>
    <row r="827" spans="1:1" ht="15.75" customHeight="1" x14ac:dyDescent="0.45">
      <c r="A827" s="92"/>
    </row>
    <row r="828" spans="1:1" ht="15.75" customHeight="1" x14ac:dyDescent="0.45">
      <c r="A828" s="92"/>
    </row>
    <row r="829" spans="1:1" ht="15.75" customHeight="1" x14ac:dyDescent="0.45">
      <c r="A829" s="92"/>
    </row>
    <row r="830" spans="1:1" ht="15.75" customHeight="1" x14ac:dyDescent="0.45">
      <c r="A830" s="92"/>
    </row>
    <row r="831" spans="1:1" ht="15.75" customHeight="1" x14ac:dyDescent="0.45">
      <c r="A831" s="92"/>
    </row>
    <row r="832" spans="1:1" ht="15.75" customHeight="1" x14ac:dyDescent="0.45">
      <c r="A832" s="92"/>
    </row>
    <row r="833" spans="1:1" ht="15.75" customHeight="1" x14ac:dyDescent="0.45">
      <c r="A833" s="92"/>
    </row>
    <row r="834" spans="1:1" ht="15.75" customHeight="1" x14ac:dyDescent="0.45">
      <c r="A834" s="92"/>
    </row>
    <row r="835" spans="1:1" ht="15.75" customHeight="1" x14ac:dyDescent="0.45">
      <c r="A835" s="92"/>
    </row>
    <row r="836" spans="1:1" ht="15.75" customHeight="1" x14ac:dyDescent="0.45">
      <c r="A836" s="92"/>
    </row>
    <row r="837" spans="1:1" ht="15.75" customHeight="1" x14ac:dyDescent="0.45">
      <c r="A837" s="92"/>
    </row>
    <row r="838" spans="1:1" ht="15.75" customHeight="1" x14ac:dyDescent="0.45">
      <c r="A838" s="92"/>
    </row>
    <row r="839" spans="1:1" ht="15.75" customHeight="1" x14ac:dyDescent="0.45">
      <c r="A839" s="92"/>
    </row>
    <row r="840" spans="1:1" ht="15.75" customHeight="1" x14ac:dyDescent="0.45">
      <c r="A840" s="92"/>
    </row>
    <row r="841" spans="1:1" ht="15.75" customHeight="1" x14ac:dyDescent="0.45">
      <c r="A841" s="92"/>
    </row>
    <row r="842" spans="1:1" ht="15.75" customHeight="1" x14ac:dyDescent="0.45">
      <c r="A842" s="92"/>
    </row>
    <row r="843" spans="1:1" ht="15.75" customHeight="1" x14ac:dyDescent="0.45">
      <c r="A843" s="92"/>
    </row>
    <row r="844" spans="1:1" ht="15.75" customHeight="1" x14ac:dyDescent="0.45">
      <c r="A844" s="92"/>
    </row>
    <row r="845" spans="1:1" ht="15.75" customHeight="1" x14ac:dyDescent="0.45">
      <c r="A845" s="92"/>
    </row>
    <row r="846" spans="1:1" ht="15.75" customHeight="1" x14ac:dyDescent="0.45">
      <c r="A846" s="92"/>
    </row>
    <row r="847" spans="1:1" ht="15.75" customHeight="1" x14ac:dyDescent="0.45">
      <c r="A847" s="92"/>
    </row>
    <row r="848" spans="1:1" ht="15.75" customHeight="1" x14ac:dyDescent="0.45">
      <c r="A848" s="92"/>
    </row>
    <row r="849" spans="1:1" ht="15.75" customHeight="1" x14ac:dyDescent="0.45">
      <c r="A849" s="92"/>
    </row>
    <row r="850" spans="1:1" ht="15.75" customHeight="1" x14ac:dyDescent="0.45">
      <c r="A850" s="92"/>
    </row>
    <row r="851" spans="1:1" ht="15.75" customHeight="1" x14ac:dyDescent="0.45">
      <c r="A851" s="92"/>
    </row>
    <row r="852" spans="1:1" ht="15.75" customHeight="1" x14ac:dyDescent="0.45">
      <c r="A852" s="92"/>
    </row>
    <row r="853" spans="1:1" ht="15.75" customHeight="1" x14ac:dyDescent="0.45">
      <c r="A853" s="92"/>
    </row>
    <row r="854" spans="1:1" ht="15.75" customHeight="1" x14ac:dyDescent="0.45">
      <c r="A854" s="92"/>
    </row>
    <row r="855" spans="1:1" ht="15.75" customHeight="1" x14ac:dyDescent="0.45">
      <c r="A855" s="92"/>
    </row>
    <row r="856" spans="1:1" ht="15.75" customHeight="1" x14ac:dyDescent="0.45">
      <c r="A856" s="92"/>
    </row>
    <row r="857" spans="1:1" ht="15.75" customHeight="1" x14ac:dyDescent="0.45">
      <c r="A857" s="92"/>
    </row>
    <row r="858" spans="1:1" ht="15.75" customHeight="1" x14ac:dyDescent="0.45">
      <c r="A858" s="92"/>
    </row>
    <row r="859" spans="1:1" ht="15.75" customHeight="1" x14ac:dyDescent="0.45">
      <c r="A859" s="92"/>
    </row>
    <row r="860" spans="1:1" ht="15.75" customHeight="1" x14ac:dyDescent="0.45">
      <c r="A860" s="92"/>
    </row>
    <row r="861" spans="1:1" ht="15.75" customHeight="1" x14ac:dyDescent="0.45">
      <c r="A861" s="92"/>
    </row>
    <row r="862" spans="1:1" ht="15.75" customHeight="1" x14ac:dyDescent="0.45">
      <c r="A862" s="92"/>
    </row>
    <row r="863" spans="1:1" ht="15.75" customHeight="1" x14ac:dyDescent="0.45">
      <c r="A863" s="92"/>
    </row>
    <row r="864" spans="1:1" ht="15.75" customHeight="1" x14ac:dyDescent="0.45">
      <c r="A864" s="92"/>
    </row>
    <row r="865" spans="1:1" ht="15.75" customHeight="1" x14ac:dyDescent="0.45">
      <c r="A865" s="92"/>
    </row>
    <row r="866" spans="1:1" ht="15.75" customHeight="1" x14ac:dyDescent="0.45">
      <c r="A866" s="92"/>
    </row>
    <row r="867" spans="1:1" ht="15.75" customHeight="1" x14ac:dyDescent="0.45">
      <c r="A867" s="92"/>
    </row>
    <row r="868" spans="1:1" ht="15.75" customHeight="1" x14ac:dyDescent="0.45">
      <c r="A868" s="92"/>
    </row>
    <row r="869" spans="1:1" ht="15.75" customHeight="1" x14ac:dyDescent="0.45">
      <c r="A869" s="92"/>
    </row>
    <row r="870" spans="1:1" ht="15.75" customHeight="1" x14ac:dyDescent="0.45">
      <c r="A870" s="92"/>
    </row>
    <row r="871" spans="1:1" ht="15.75" customHeight="1" x14ac:dyDescent="0.45">
      <c r="A871" s="92"/>
    </row>
    <row r="872" spans="1:1" ht="15.75" customHeight="1" x14ac:dyDescent="0.45">
      <c r="A872" s="92"/>
    </row>
    <row r="873" spans="1:1" ht="15.75" customHeight="1" x14ac:dyDescent="0.45">
      <c r="A873" s="92"/>
    </row>
    <row r="874" spans="1:1" ht="15.75" customHeight="1" x14ac:dyDescent="0.45">
      <c r="A874" s="92"/>
    </row>
    <row r="875" spans="1:1" ht="15.75" customHeight="1" x14ac:dyDescent="0.45">
      <c r="A875" s="92"/>
    </row>
    <row r="876" spans="1:1" ht="15.75" customHeight="1" x14ac:dyDescent="0.45">
      <c r="A876" s="92"/>
    </row>
    <row r="877" spans="1:1" ht="15.75" customHeight="1" x14ac:dyDescent="0.45">
      <c r="A877" s="92"/>
    </row>
    <row r="878" spans="1:1" ht="15.75" customHeight="1" x14ac:dyDescent="0.45">
      <c r="A878" s="92"/>
    </row>
    <row r="879" spans="1:1" ht="15.75" customHeight="1" x14ac:dyDescent="0.45">
      <c r="A879" s="92"/>
    </row>
    <row r="880" spans="1:1" ht="15.75" customHeight="1" x14ac:dyDescent="0.45">
      <c r="A880" s="92"/>
    </row>
    <row r="881" spans="1:1" ht="15.75" customHeight="1" x14ac:dyDescent="0.45">
      <c r="A881" s="92"/>
    </row>
    <row r="882" spans="1:1" ht="15.75" customHeight="1" x14ac:dyDescent="0.45">
      <c r="A882" s="92"/>
    </row>
    <row r="883" spans="1:1" ht="15.75" customHeight="1" x14ac:dyDescent="0.45">
      <c r="A883" s="92"/>
    </row>
    <row r="884" spans="1:1" ht="15.75" customHeight="1" x14ac:dyDescent="0.45">
      <c r="A884" s="92"/>
    </row>
    <row r="885" spans="1:1" ht="15.75" customHeight="1" x14ac:dyDescent="0.45">
      <c r="A885" s="92"/>
    </row>
    <row r="886" spans="1:1" ht="15.75" customHeight="1" x14ac:dyDescent="0.45">
      <c r="A886" s="92"/>
    </row>
    <row r="887" spans="1:1" ht="15.75" customHeight="1" x14ac:dyDescent="0.45">
      <c r="A887" s="92"/>
    </row>
    <row r="888" spans="1:1" ht="15.75" customHeight="1" x14ac:dyDescent="0.45">
      <c r="A888" s="92"/>
    </row>
    <row r="889" spans="1:1" ht="15.75" customHeight="1" x14ac:dyDescent="0.45">
      <c r="A889" s="92"/>
    </row>
    <row r="890" spans="1:1" ht="15.75" customHeight="1" x14ac:dyDescent="0.45">
      <c r="A890" s="92"/>
    </row>
    <row r="891" spans="1:1" ht="15.75" customHeight="1" x14ac:dyDescent="0.45">
      <c r="A891" s="92"/>
    </row>
    <row r="892" spans="1:1" ht="15.75" customHeight="1" x14ac:dyDescent="0.45">
      <c r="A892" s="92"/>
    </row>
    <row r="893" spans="1:1" ht="15.75" customHeight="1" x14ac:dyDescent="0.45">
      <c r="A893" s="92"/>
    </row>
    <row r="894" spans="1:1" ht="15.75" customHeight="1" x14ac:dyDescent="0.45">
      <c r="A894" s="92"/>
    </row>
    <row r="895" spans="1:1" ht="15.75" customHeight="1" x14ac:dyDescent="0.45">
      <c r="A895" s="92"/>
    </row>
    <row r="896" spans="1:1" ht="15.75" customHeight="1" x14ac:dyDescent="0.45">
      <c r="A896" s="92"/>
    </row>
    <row r="897" spans="1:1" ht="15.75" customHeight="1" x14ac:dyDescent="0.45">
      <c r="A897" s="92"/>
    </row>
    <row r="898" spans="1:1" ht="15.75" customHeight="1" x14ac:dyDescent="0.45">
      <c r="A898" s="92"/>
    </row>
    <row r="899" spans="1:1" ht="15.75" customHeight="1" x14ac:dyDescent="0.45">
      <c r="A899" s="92"/>
    </row>
    <row r="900" spans="1:1" ht="15.75" customHeight="1" x14ac:dyDescent="0.45">
      <c r="A900" s="92"/>
    </row>
    <row r="901" spans="1:1" ht="15.75" customHeight="1" x14ac:dyDescent="0.45">
      <c r="A901" s="92"/>
    </row>
    <row r="902" spans="1:1" ht="15.75" customHeight="1" x14ac:dyDescent="0.45">
      <c r="A902" s="92"/>
    </row>
    <row r="903" spans="1:1" ht="15.75" customHeight="1" x14ac:dyDescent="0.45">
      <c r="A903" s="92"/>
    </row>
    <row r="904" spans="1:1" ht="15.75" customHeight="1" x14ac:dyDescent="0.45">
      <c r="A904" s="92"/>
    </row>
    <row r="905" spans="1:1" ht="15.75" customHeight="1" x14ac:dyDescent="0.45">
      <c r="A905" s="92"/>
    </row>
    <row r="906" spans="1:1" ht="15.75" customHeight="1" x14ac:dyDescent="0.45">
      <c r="A906" s="92"/>
    </row>
    <row r="907" spans="1:1" ht="15.75" customHeight="1" x14ac:dyDescent="0.45">
      <c r="A907" s="92"/>
    </row>
    <row r="908" spans="1:1" ht="15.75" customHeight="1" x14ac:dyDescent="0.45">
      <c r="A908" s="92"/>
    </row>
    <row r="909" spans="1:1" ht="15.75" customHeight="1" x14ac:dyDescent="0.45">
      <c r="A909" s="92"/>
    </row>
    <row r="910" spans="1:1" ht="15.75" customHeight="1" x14ac:dyDescent="0.45">
      <c r="A910" s="92"/>
    </row>
    <row r="911" spans="1:1" ht="15.75" customHeight="1" x14ac:dyDescent="0.45">
      <c r="A911" s="92"/>
    </row>
    <row r="912" spans="1:1" ht="15.75" customHeight="1" x14ac:dyDescent="0.45">
      <c r="A912" s="92"/>
    </row>
    <row r="913" spans="1:1" ht="15.75" customHeight="1" x14ac:dyDescent="0.45">
      <c r="A913" s="92"/>
    </row>
    <row r="914" spans="1:1" ht="15.75" customHeight="1" x14ac:dyDescent="0.45">
      <c r="A914" s="92"/>
    </row>
    <row r="915" spans="1:1" ht="15.75" customHeight="1" x14ac:dyDescent="0.45">
      <c r="A915" s="92"/>
    </row>
    <row r="916" spans="1:1" ht="15.75" customHeight="1" x14ac:dyDescent="0.45">
      <c r="A916" s="92"/>
    </row>
    <row r="917" spans="1:1" ht="15.75" customHeight="1" x14ac:dyDescent="0.45">
      <c r="A917" s="92"/>
    </row>
    <row r="918" spans="1:1" ht="15.75" customHeight="1" x14ac:dyDescent="0.45">
      <c r="A918" s="92"/>
    </row>
    <row r="919" spans="1:1" ht="15.75" customHeight="1" x14ac:dyDescent="0.45">
      <c r="A919" s="92"/>
    </row>
    <row r="920" spans="1:1" ht="15.75" customHeight="1" x14ac:dyDescent="0.45">
      <c r="A920" s="92"/>
    </row>
    <row r="921" spans="1:1" ht="15.75" customHeight="1" x14ac:dyDescent="0.45">
      <c r="A921" s="92"/>
    </row>
    <row r="922" spans="1:1" ht="15.75" customHeight="1" x14ac:dyDescent="0.45">
      <c r="A922" s="92"/>
    </row>
    <row r="923" spans="1:1" ht="15.75" customHeight="1" x14ac:dyDescent="0.45">
      <c r="A923" s="92"/>
    </row>
    <row r="924" spans="1:1" ht="15.75" customHeight="1" x14ac:dyDescent="0.45">
      <c r="A924" s="92"/>
    </row>
    <row r="925" spans="1:1" ht="15.75" customHeight="1" x14ac:dyDescent="0.45">
      <c r="A925" s="92"/>
    </row>
    <row r="926" spans="1:1" ht="15.75" customHeight="1" x14ac:dyDescent="0.45">
      <c r="A926" s="92"/>
    </row>
    <row r="927" spans="1:1" ht="15.75" customHeight="1" x14ac:dyDescent="0.45">
      <c r="A927" s="92"/>
    </row>
    <row r="928" spans="1:1" ht="15.75" customHeight="1" x14ac:dyDescent="0.45">
      <c r="A928" s="92"/>
    </row>
    <row r="929" spans="1:1" ht="15.75" customHeight="1" x14ac:dyDescent="0.45">
      <c r="A929" s="92"/>
    </row>
    <row r="930" spans="1:1" ht="15.75" customHeight="1" x14ac:dyDescent="0.45">
      <c r="A930" s="92"/>
    </row>
    <row r="931" spans="1:1" ht="15.75" customHeight="1" x14ac:dyDescent="0.45">
      <c r="A931" s="92"/>
    </row>
    <row r="932" spans="1:1" ht="15.75" customHeight="1" x14ac:dyDescent="0.45">
      <c r="A932" s="92"/>
    </row>
    <row r="933" spans="1:1" ht="15.75" customHeight="1" x14ac:dyDescent="0.45">
      <c r="A933" s="92"/>
    </row>
    <row r="934" spans="1:1" ht="15.75" customHeight="1" x14ac:dyDescent="0.45">
      <c r="A934" s="92"/>
    </row>
    <row r="935" spans="1:1" ht="15.75" customHeight="1" x14ac:dyDescent="0.45">
      <c r="A935" s="92"/>
    </row>
    <row r="936" spans="1:1" ht="15.75" customHeight="1" x14ac:dyDescent="0.45">
      <c r="A936" s="92"/>
    </row>
    <row r="937" spans="1:1" ht="15.75" customHeight="1" x14ac:dyDescent="0.45">
      <c r="A937" s="92"/>
    </row>
    <row r="938" spans="1:1" ht="15.75" customHeight="1" x14ac:dyDescent="0.45">
      <c r="A938" s="92"/>
    </row>
    <row r="939" spans="1:1" ht="15.75" customHeight="1" x14ac:dyDescent="0.45">
      <c r="A939" s="92"/>
    </row>
    <row r="940" spans="1:1" ht="15.75" customHeight="1" x14ac:dyDescent="0.45">
      <c r="A940" s="92"/>
    </row>
    <row r="941" spans="1:1" ht="15.75" customHeight="1" x14ac:dyDescent="0.45">
      <c r="A941" s="92"/>
    </row>
    <row r="942" spans="1:1" ht="15.75" customHeight="1" x14ac:dyDescent="0.45">
      <c r="A942" s="92"/>
    </row>
    <row r="943" spans="1:1" ht="15.75" customHeight="1" x14ac:dyDescent="0.45">
      <c r="A943" s="92"/>
    </row>
    <row r="944" spans="1:1" ht="15.75" customHeight="1" x14ac:dyDescent="0.45">
      <c r="A944" s="92"/>
    </row>
    <row r="945" spans="1:1" ht="15.75" customHeight="1" x14ac:dyDescent="0.45">
      <c r="A945" s="92"/>
    </row>
    <row r="946" spans="1:1" ht="15.75" customHeight="1" x14ac:dyDescent="0.45">
      <c r="A946" s="92"/>
    </row>
    <row r="947" spans="1:1" ht="15.75" customHeight="1" x14ac:dyDescent="0.45">
      <c r="A947" s="92"/>
    </row>
    <row r="948" spans="1:1" ht="15.75" customHeight="1" x14ac:dyDescent="0.45">
      <c r="A948" s="92"/>
    </row>
    <row r="949" spans="1:1" ht="15.75" customHeight="1" x14ac:dyDescent="0.45">
      <c r="A949" s="92"/>
    </row>
    <row r="950" spans="1:1" ht="15.75" customHeight="1" x14ac:dyDescent="0.45">
      <c r="A950" s="92"/>
    </row>
    <row r="951" spans="1:1" ht="15.75" customHeight="1" x14ac:dyDescent="0.45">
      <c r="A951" s="92"/>
    </row>
    <row r="952" spans="1:1" ht="15.75" customHeight="1" x14ac:dyDescent="0.45">
      <c r="A952" s="92"/>
    </row>
    <row r="953" spans="1:1" ht="15.75" customHeight="1" x14ac:dyDescent="0.45">
      <c r="A953" s="92"/>
    </row>
    <row r="954" spans="1:1" ht="15.75" customHeight="1" x14ac:dyDescent="0.45">
      <c r="A954" s="92"/>
    </row>
    <row r="955" spans="1:1" ht="15.75" customHeight="1" x14ac:dyDescent="0.45">
      <c r="A955" s="92"/>
    </row>
    <row r="956" spans="1:1" ht="15.75" customHeight="1" x14ac:dyDescent="0.45">
      <c r="A956" s="92"/>
    </row>
    <row r="957" spans="1:1" ht="15.75" customHeight="1" x14ac:dyDescent="0.45">
      <c r="A957" s="92"/>
    </row>
    <row r="958" spans="1:1" ht="15.75" customHeight="1" x14ac:dyDescent="0.45">
      <c r="A958" s="92"/>
    </row>
    <row r="959" spans="1:1" ht="15.75" customHeight="1" x14ac:dyDescent="0.45">
      <c r="A959" s="92"/>
    </row>
    <row r="960" spans="1:1" ht="15.75" customHeight="1" x14ac:dyDescent="0.45">
      <c r="A960" s="92"/>
    </row>
    <row r="961" spans="1:1" ht="15.75" customHeight="1" x14ac:dyDescent="0.45">
      <c r="A961" s="92"/>
    </row>
    <row r="962" spans="1:1" ht="15.75" customHeight="1" x14ac:dyDescent="0.45">
      <c r="A962" s="92"/>
    </row>
    <row r="963" spans="1:1" ht="15.75" customHeight="1" x14ac:dyDescent="0.45">
      <c r="A963" s="92"/>
    </row>
    <row r="964" spans="1:1" ht="15.75" customHeight="1" x14ac:dyDescent="0.45">
      <c r="A964" s="92"/>
    </row>
    <row r="965" spans="1:1" ht="15.75" customHeight="1" x14ac:dyDescent="0.45">
      <c r="A965" s="92"/>
    </row>
    <row r="966" spans="1:1" ht="15.75" customHeight="1" x14ac:dyDescent="0.45">
      <c r="A966" s="92"/>
    </row>
    <row r="967" spans="1:1" ht="15.75" customHeight="1" x14ac:dyDescent="0.45">
      <c r="A967" s="92"/>
    </row>
    <row r="968" spans="1:1" ht="15.75" customHeight="1" x14ac:dyDescent="0.45">
      <c r="A968" s="92"/>
    </row>
    <row r="969" spans="1:1" ht="15.75" customHeight="1" x14ac:dyDescent="0.45">
      <c r="A969" s="92"/>
    </row>
    <row r="970" spans="1:1" ht="15.75" customHeight="1" x14ac:dyDescent="0.45">
      <c r="A970" s="92"/>
    </row>
    <row r="971" spans="1:1" ht="15.75" customHeight="1" x14ac:dyDescent="0.45">
      <c r="A971" s="92"/>
    </row>
    <row r="972" spans="1:1" ht="15.75" customHeight="1" x14ac:dyDescent="0.45">
      <c r="A972" s="92"/>
    </row>
    <row r="973" spans="1:1" ht="15.75" customHeight="1" x14ac:dyDescent="0.45">
      <c r="A973" s="92"/>
    </row>
    <row r="974" spans="1:1" ht="15.75" customHeight="1" x14ac:dyDescent="0.45">
      <c r="A974" s="92"/>
    </row>
    <row r="975" spans="1:1" ht="15.75" customHeight="1" x14ac:dyDescent="0.45">
      <c r="A975" s="92"/>
    </row>
    <row r="976" spans="1:1" ht="15.75" customHeight="1" x14ac:dyDescent="0.45">
      <c r="A976" s="92"/>
    </row>
    <row r="977" spans="1:1" ht="15.75" customHeight="1" x14ac:dyDescent="0.45">
      <c r="A977" s="92"/>
    </row>
    <row r="978" spans="1:1" ht="15.75" customHeight="1" x14ac:dyDescent="0.45">
      <c r="A978" s="92"/>
    </row>
    <row r="979" spans="1:1" ht="15.75" customHeight="1" x14ac:dyDescent="0.45">
      <c r="A979" s="92"/>
    </row>
    <row r="980" spans="1:1" ht="15.75" customHeight="1" x14ac:dyDescent="0.45">
      <c r="A980" s="92"/>
    </row>
    <row r="981" spans="1:1" ht="15.75" customHeight="1" x14ac:dyDescent="0.45">
      <c r="A981" s="92"/>
    </row>
    <row r="982" spans="1:1" ht="15.75" customHeight="1" x14ac:dyDescent="0.45">
      <c r="A982" s="92"/>
    </row>
    <row r="983" spans="1:1" ht="15.75" customHeight="1" x14ac:dyDescent="0.45">
      <c r="A983" s="92"/>
    </row>
    <row r="984" spans="1:1" ht="15.75" customHeight="1" x14ac:dyDescent="0.45">
      <c r="A984" s="92"/>
    </row>
    <row r="985" spans="1:1" ht="15.75" customHeight="1" x14ac:dyDescent="0.45">
      <c r="A985" s="92"/>
    </row>
    <row r="986" spans="1:1" ht="15.75" customHeight="1" x14ac:dyDescent="0.45">
      <c r="A986" s="92"/>
    </row>
    <row r="987" spans="1:1" ht="15.75" customHeight="1" x14ac:dyDescent="0.45">
      <c r="A987" s="92"/>
    </row>
    <row r="988" spans="1:1" ht="15.75" customHeight="1" x14ac:dyDescent="0.45">
      <c r="A988" s="92"/>
    </row>
    <row r="989" spans="1:1" ht="15.75" customHeight="1" x14ac:dyDescent="0.45">
      <c r="A989" s="92"/>
    </row>
    <row r="990" spans="1:1" ht="15.75" customHeight="1" x14ac:dyDescent="0.45">
      <c r="A990" s="92"/>
    </row>
    <row r="991" spans="1:1" ht="15.75" customHeight="1" x14ac:dyDescent="0.45">
      <c r="A991" s="92"/>
    </row>
    <row r="992" spans="1:1" ht="15.75" customHeight="1" x14ac:dyDescent="0.45">
      <c r="A992" s="92"/>
    </row>
    <row r="993" spans="1:1" ht="15.75" customHeight="1" x14ac:dyDescent="0.45">
      <c r="A993" s="92"/>
    </row>
    <row r="994" spans="1:1" ht="15.75" customHeight="1" x14ac:dyDescent="0.45">
      <c r="A994" s="92"/>
    </row>
    <row r="995" spans="1:1" ht="15.75" customHeight="1" x14ac:dyDescent="0.45">
      <c r="A995" s="92"/>
    </row>
    <row r="996" spans="1:1" ht="15.75" customHeight="1" x14ac:dyDescent="0.45">
      <c r="A996" s="92"/>
    </row>
    <row r="997" spans="1:1" ht="15.75" customHeight="1" x14ac:dyDescent="0.45">
      <c r="A997" s="92"/>
    </row>
    <row r="998" spans="1:1" ht="15.75" customHeight="1" x14ac:dyDescent="0.45">
      <c r="A998" s="92"/>
    </row>
    <row r="999" spans="1:1" ht="15.75" customHeight="1" x14ac:dyDescent="0.45">
      <c r="A999" s="92"/>
    </row>
    <row r="1000" spans="1:1" ht="15.75" customHeight="1" x14ac:dyDescent="0.45">
      <c r="A1000" s="92"/>
    </row>
  </sheetData>
  <mergeCells count="10">
    <mergeCell ref="BF2:BM2"/>
    <mergeCell ref="BN2:BU2"/>
    <mergeCell ref="BV2:CC2"/>
    <mergeCell ref="AP2:AW2"/>
    <mergeCell ref="AX2:BE2"/>
    <mergeCell ref="B2:I2"/>
    <mergeCell ref="J2:Q2"/>
    <mergeCell ref="R2:Y2"/>
    <mergeCell ref="Z2:AG2"/>
    <mergeCell ref="AH2:AO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7:K65"/>
  <sheetViews>
    <sheetView workbookViewId="0">
      <selection activeCell="A9" sqref="A9"/>
    </sheetView>
  </sheetViews>
  <sheetFormatPr defaultRowHeight="14.25" x14ac:dyDescent="0.45"/>
  <cols>
    <col min="1" max="1" width="12.86328125" bestFit="1" customWidth="1"/>
    <col min="2" max="2" width="32.59765625" bestFit="1" customWidth="1"/>
    <col min="3" max="3" width="33" bestFit="1" customWidth="1"/>
    <col min="8" max="8" width="12.86328125" bestFit="1" customWidth="1"/>
    <col min="9" max="9" width="32.59765625" bestFit="1" customWidth="1"/>
    <col min="10" max="10" width="33" bestFit="1" customWidth="1"/>
  </cols>
  <sheetData>
    <row r="7" spans="2:10" x14ac:dyDescent="0.45">
      <c r="B7" s="118"/>
      <c r="C7" s="118"/>
      <c r="I7" s="118"/>
      <c r="J7" s="118"/>
    </row>
    <row r="8" spans="2:10" x14ac:dyDescent="0.45">
      <c r="B8" s="118"/>
      <c r="C8" s="118"/>
      <c r="I8" s="118"/>
      <c r="J8" s="118"/>
    </row>
    <row r="9" spans="2:10" x14ac:dyDescent="0.45">
      <c r="B9" s="118"/>
      <c r="C9" s="118"/>
      <c r="I9" s="118"/>
      <c r="J9" s="118"/>
    </row>
    <row r="10" spans="2:10" x14ac:dyDescent="0.45">
      <c r="B10" s="118"/>
      <c r="C10" s="118"/>
      <c r="I10" s="118"/>
      <c r="J10" s="118"/>
    </row>
    <row r="11" spans="2:10" x14ac:dyDescent="0.45">
      <c r="B11" s="118"/>
      <c r="C11" s="118"/>
      <c r="I11" s="118"/>
      <c r="J11" s="118"/>
    </row>
    <row r="12" spans="2:10" x14ac:dyDescent="0.45">
      <c r="B12" s="118"/>
      <c r="C12" s="118"/>
      <c r="I12" s="118"/>
      <c r="J12" s="118"/>
    </row>
    <row r="13" spans="2:10" x14ac:dyDescent="0.45">
      <c r="B13" s="118"/>
      <c r="C13" s="118"/>
      <c r="I13" s="118"/>
      <c r="J13" s="118"/>
    </row>
    <row r="14" spans="2:10" x14ac:dyDescent="0.45">
      <c r="B14" s="118"/>
      <c r="C14" s="118"/>
      <c r="I14" s="118"/>
      <c r="J14" s="118"/>
    </row>
    <row r="15" spans="2:10" x14ac:dyDescent="0.45">
      <c r="B15" s="118"/>
      <c r="C15" s="118"/>
      <c r="I15" s="118"/>
      <c r="J15" s="118"/>
    </row>
    <row r="16" spans="2:10" x14ac:dyDescent="0.45">
      <c r="B16" s="118"/>
      <c r="C16" s="118"/>
      <c r="I16" s="118"/>
      <c r="J16" s="118"/>
    </row>
    <row r="17" spans="2:10" x14ac:dyDescent="0.45">
      <c r="B17" s="118"/>
      <c r="C17" s="118"/>
      <c r="I17" s="118"/>
      <c r="J17" s="118"/>
    </row>
    <row r="18" spans="2:10" x14ac:dyDescent="0.45">
      <c r="B18" s="118"/>
      <c r="C18" s="118"/>
      <c r="I18" s="118"/>
      <c r="J18" s="118"/>
    </row>
    <row r="19" spans="2:10" x14ac:dyDescent="0.45">
      <c r="B19" s="118"/>
      <c r="C19" s="118"/>
      <c r="I19" s="118"/>
      <c r="J19" s="118"/>
    </row>
    <row r="20" spans="2:10" x14ac:dyDescent="0.45">
      <c r="B20" s="118"/>
      <c r="C20" s="118"/>
      <c r="I20" s="118"/>
      <c r="J20" s="118"/>
    </row>
    <row r="21" spans="2:10" x14ac:dyDescent="0.45">
      <c r="B21" s="118"/>
      <c r="C21" s="118"/>
      <c r="I21" s="118"/>
      <c r="J21" s="118"/>
    </row>
    <row r="22" spans="2:10" x14ac:dyDescent="0.45">
      <c r="B22" s="118"/>
      <c r="C22" s="118"/>
      <c r="I22" s="118"/>
      <c r="J22" s="118"/>
    </row>
    <row r="23" spans="2:10" x14ac:dyDescent="0.45">
      <c r="B23" s="118"/>
      <c r="C23" s="118"/>
      <c r="I23" s="118"/>
      <c r="J23" s="118"/>
    </row>
    <row r="24" spans="2:10" x14ac:dyDescent="0.45">
      <c r="B24" s="118"/>
      <c r="C24" s="118"/>
      <c r="I24" s="118"/>
      <c r="J24" s="118"/>
    </row>
    <row r="25" spans="2:10" x14ac:dyDescent="0.45">
      <c r="B25" s="118"/>
      <c r="C25" s="118"/>
      <c r="I25" s="118"/>
      <c r="J25" s="118"/>
    </row>
    <row r="26" spans="2:10" x14ac:dyDescent="0.45">
      <c r="B26" s="118"/>
      <c r="C26" s="118"/>
      <c r="I26" s="118"/>
      <c r="J26" s="118"/>
    </row>
    <row r="27" spans="2:10" x14ac:dyDescent="0.45">
      <c r="B27" s="118"/>
      <c r="C27" s="118"/>
      <c r="I27" s="118"/>
      <c r="J27" s="118"/>
    </row>
    <row r="28" spans="2:10" x14ac:dyDescent="0.45">
      <c r="B28" s="118"/>
      <c r="C28" s="118"/>
      <c r="I28" s="118"/>
      <c r="J28" s="118"/>
    </row>
    <row r="29" spans="2:10" x14ac:dyDescent="0.45">
      <c r="B29" s="118"/>
      <c r="C29" s="118"/>
      <c r="I29" s="118"/>
      <c r="J29" s="118"/>
    </row>
    <row r="30" spans="2:10" x14ac:dyDescent="0.45">
      <c r="B30" s="118"/>
      <c r="C30" s="118"/>
      <c r="I30" s="118"/>
      <c r="J30" s="118"/>
    </row>
    <row r="31" spans="2:10" x14ac:dyDescent="0.45">
      <c r="B31" s="118"/>
      <c r="C31" s="118"/>
      <c r="I31" s="118"/>
      <c r="J31" s="118"/>
    </row>
    <row r="32" spans="2:10" x14ac:dyDescent="0.45">
      <c r="B32" s="118"/>
      <c r="C32" s="118"/>
      <c r="I32" s="118"/>
      <c r="J32" s="118"/>
    </row>
    <row r="33" spans="2:11" x14ac:dyDescent="0.45">
      <c r="B33" s="118"/>
      <c r="C33" s="118"/>
      <c r="I33" s="118"/>
      <c r="J33" s="118"/>
    </row>
    <row r="34" spans="2:11" x14ac:dyDescent="0.45">
      <c r="B34" s="118"/>
      <c r="C34" s="118"/>
      <c r="I34" s="118"/>
      <c r="J34" s="118"/>
    </row>
    <row r="35" spans="2:11" x14ac:dyDescent="0.45">
      <c r="B35" s="118"/>
      <c r="C35" s="118"/>
      <c r="I35" s="118"/>
      <c r="J35" s="118"/>
    </row>
    <row r="36" spans="2:11" x14ac:dyDescent="0.45">
      <c r="B36" s="118"/>
      <c r="C36" s="118"/>
      <c r="I36" s="118"/>
      <c r="J36" s="118"/>
    </row>
    <row r="37" spans="2:11" x14ac:dyDescent="0.45">
      <c r="B37" s="118"/>
      <c r="C37" s="118"/>
      <c r="D37" s="118"/>
      <c r="I37" s="118"/>
      <c r="J37" s="118"/>
    </row>
    <row r="38" spans="2:11" x14ac:dyDescent="0.45">
      <c r="B38" s="118"/>
      <c r="C38" s="118"/>
      <c r="D38" s="118"/>
      <c r="I38" s="118"/>
      <c r="J38" s="118"/>
    </row>
    <row r="39" spans="2:11" x14ac:dyDescent="0.45">
      <c r="B39" s="118"/>
      <c r="C39" s="118"/>
      <c r="D39" s="118"/>
      <c r="I39" s="118"/>
      <c r="J39" s="118"/>
    </row>
    <row r="40" spans="2:11" x14ac:dyDescent="0.45">
      <c r="B40" s="118"/>
      <c r="C40" s="118"/>
      <c r="D40" s="118"/>
      <c r="I40" s="118"/>
      <c r="J40" s="118"/>
    </row>
    <row r="41" spans="2:11" x14ac:dyDescent="0.45">
      <c r="B41" s="118"/>
      <c r="C41" s="118"/>
      <c r="D41" s="118"/>
      <c r="I41" s="118"/>
      <c r="J41" s="118"/>
    </row>
    <row r="42" spans="2:11" x14ac:dyDescent="0.45">
      <c r="B42" s="118"/>
      <c r="C42" s="118"/>
      <c r="D42" s="118"/>
      <c r="I42" s="118"/>
      <c r="J42" s="118"/>
    </row>
    <row r="43" spans="2:11" x14ac:dyDescent="0.45">
      <c r="B43" s="118"/>
      <c r="C43" s="118"/>
      <c r="D43" s="118"/>
      <c r="I43" s="118"/>
      <c r="J43" s="118"/>
    </row>
    <row r="44" spans="2:11" x14ac:dyDescent="0.45">
      <c r="B44" s="118"/>
      <c r="C44" s="118"/>
      <c r="D44" s="118"/>
      <c r="I44" s="118"/>
      <c r="J44" s="118"/>
    </row>
    <row r="45" spans="2:11" x14ac:dyDescent="0.45">
      <c r="B45" s="118"/>
      <c r="C45" s="118"/>
      <c r="D45" s="118"/>
      <c r="I45" s="118"/>
      <c r="J45" s="118"/>
    </row>
    <row r="46" spans="2:11" x14ac:dyDescent="0.45">
      <c r="B46" s="118"/>
      <c r="C46" s="118"/>
      <c r="D46" s="118"/>
      <c r="I46" s="118"/>
      <c r="J46" s="118"/>
    </row>
    <row r="47" spans="2:11" x14ac:dyDescent="0.45">
      <c r="B47" s="118"/>
      <c r="C47" s="118"/>
      <c r="D47" s="118"/>
      <c r="I47" s="118"/>
      <c r="J47" s="118"/>
      <c r="K47" s="118"/>
    </row>
    <row r="48" spans="2:11" x14ac:dyDescent="0.45">
      <c r="B48" s="118"/>
      <c r="C48" s="118"/>
      <c r="D48" s="118"/>
      <c r="I48" s="118"/>
      <c r="J48" s="118"/>
      <c r="K48" s="118"/>
    </row>
    <row r="49" spans="2:11" x14ac:dyDescent="0.45">
      <c r="B49" s="118"/>
      <c r="C49" s="118"/>
      <c r="D49" s="118"/>
      <c r="I49" s="118"/>
      <c r="J49" s="118"/>
      <c r="K49" s="118"/>
    </row>
    <row r="50" spans="2:11" x14ac:dyDescent="0.45">
      <c r="B50" s="118"/>
      <c r="C50" s="118"/>
      <c r="D50" s="118"/>
      <c r="I50" s="118"/>
      <c r="J50" s="118"/>
      <c r="K50" s="118"/>
    </row>
    <row r="51" spans="2:11" x14ac:dyDescent="0.45">
      <c r="B51" s="118"/>
      <c r="C51" s="118"/>
      <c r="D51" s="118"/>
      <c r="I51" s="118"/>
      <c r="J51" s="118"/>
      <c r="K51" s="118"/>
    </row>
    <row r="52" spans="2:11" x14ac:dyDescent="0.45">
      <c r="B52" s="118"/>
      <c r="C52" s="118"/>
      <c r="D52" s="118"/>
      <c r="I52" s="118"/>
      <c r="J52" s="118"/>
      <c r="K52" s="118"/>
    </row>
    <row r="53" spans="2:11" x14ac:dyDescent="0.45">
      <c r="B53" s="118"/>
      <c r="C53" s="118"/>
      <c r="D53" s="118"/>
      <c r="I53" s="118"/>
      <c r="J53" s="118"/>
      <c r="K53" s="118"/>
    </row>
    <row r="54" spans="2:11" x14ac:dyDescent="0.45">
      <c r="B54" s="118"/>
      <c r="C54" s="118"/>
      <c r="D54" s="118"/>
      <c r="I54" s="118"/>
      <c r="J54" s="118"/>
      <c r="K54" s="118"/>
    </row>
    <row r="55" spans="2:11" x14ac:dyDescent="0.45">
      <c r="B55" s="118"/>
      <c r="C55" s="118"/>
      <c r="D55" s="118"/>
      <c r="I55" s="118"/>
      <c r="J55" s="118"/>
      <c r="K55" s="118"/>
    </row>
    <row r="56" spans="2:11" x14ac:dyDescent="0.45">
      <c r="B56" s="118"/>
      <c r="C56" s="118"/>
      <c r="D56" s="118"/>
      <c r="I56" s="118"/>
      <c r="J56" s="118"/>
      <c r="K56" s="118"/>
    </row>
    <row r="57" spans="2:11" x14ac:dyDescent="0.45">
      <c r="B57" s="118"/>
      <c r="C57" s="118"/>
      <c r="D57" s="118"/>
      <c r="I57" s="118"/>
      <c r="J57" s="118"/>
      <c r="K57" s="118"/>
    </row>
    <row r="58" spans="2:11" x14ac:dyDescent="0.45">
      <c r="B58" s="118"/>
      <c r="C58" s="118"/>
      <c r="D58" s="118"/>
      <c r="I58" s="118"/>
      <c r="J58" s="118"/>
      <c r="K58" s="118"/>
    </row>
    <row r="59" spans="2:11" x14ac:dyDescent="0.45">
      <c r="B59" s="118"/>
      <c r="C59" s="118"/>
      <c r="D59" s="118"/>
      <c r="I59" s="118"/>
      <c r="J59" s="118"/>
      <c r="K59" s="118"/>
    </row>
    <row r="60" spans="2:11" x14ac:dyDescent="0.45">
      <c r="B60" s="118"/>
      <c r="C60" s="118"/>
      <c r="D60" s="118"/>
      <c r="I60" s="118"/>
      <c r="J60" s="118"/>
      <c r="K60" s="118"/>
    </row>
    <row r="61" spans="2:11" x14ac:dyDescent="0.45">
      <c r="B61" s="118"/>
      <c r="C61" s="118"/>
      <c r="D61" s="118"/>
      <c r="I61" s="118"/>
      <c r="J61" s="118"/>
      <c r="K61" s="118"/>
    </row>
    <row r="62" spans="2:11" x14ac:dyDescent="0.45">
      <c r="B62" s="118"/>
      <c r="C62" s="118"/>
      <c r="D62" s="118"/>
      <c r="I62" s="118"/>
      <c r="J62" s="118"/>
      <c r="K62" s="118"/>
    </row>
    <row r="63" spans="2:11" x14ac:dyDescent="0.45">
      <c r="B63" s="118"/>
      <c r="C63" s="118"/>
      <c r="D63" s="118"/>
      <c r="I63" s="118"/>
      <c r="J63" s="118"/>
      <c r="K63" s="118"/>
    </row>
    <row r="64" spans="2:11" x14ac:dyDescent="0.45">
      <c r="B64" s="118"/>
      <c r="C64" s="118"/>
      <c r="D64" s="118"/>
      <c r="I64" s="118"/>
      <c r="J64" s="118"/>
      <c r="K64" s="118"/>
    </row>
    <row r="65" spans="2:11" x14ac:dyDescent="0.45">
      <c r="B65" s="118"/>
      <c r="C65" s="118"/>
      <c r="D65" s="118"/>
      <c r="I65" s="118"/>
      <c r="J65" s="118"/>
      <c r="K65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3984375" defaultRowHeight="15" customHeight="1" x14ac:dyDescent="0.45"/>
  <cols>
    <col min="1" max="1" width="31.1328125" customWidth="1"/>
    <col min="2" max="2" width="130.265625" customWidth="1"/>
    <col min="3" max="3" width="10.73046875" customWidth="1"/>
    <col min="4" max="4" width="42.73046875" customWidth="1"/>
    <col min="5" max="26" width="10.73046875" customWidth="1"/>
  </cols>
  <sheetData>
    <row r="1" spans="1:15" ht="14.25" x14ac:dyDescent="0.4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45">
      <c r="A2" s="95" t="s">
        <v>26</v>
      </c>
      <c r="B2" s="96" t="s">
        <v>27</v>
      </c>
      <c r="C2" s="97" t="s">
        <v>1</v>
      </c>
    </row>
    <row r="3" spans="1:15" ht="15.75" x14ac:dyDescent="0.45">
      <c r="A3" s="95" t="s">
        <v>28</v>
      </c>
      <c r="B3" s="96" t="s">
        <v>29</v>
      </c>
      <c r="C3" s="97" t="s">
        <v>1</v>
      </c>
    </row>
    <row r="4" spans="1:15" ht="31.5" x14ac:dyDescent="0.45">
      <c r="A4" s="95" t="s">
        <v>30</v>
      </c>
      <c r="B4" s="96" t="s">
        <v>31</v>
      </c>
      <c r="C4" s="97" t="s">
        <v>1</v>
      </c>
    </row>
    <row r="5" spans="1:15" ht="15.75" x14ac:dyDescent="0.4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45">
      <c r="A6" s="95" t="s">
        <v>35</v>
      </c>
      <c r="B6" s="96" t="s">
        <v>36</v>
      </c>
      <c r="C6" s="97" t="s">
        <v>1</v>
      </c>
    </row>
    <row r="7" spans="1:15" ht="15.75" x14ac:dyDescent="0.45">
      <c r="A7" s="95" t="s">
        <v>17</v>
      </c>
      <c r="B7" s="99" t="s">
        <v>37</v>
      </c>
      <c r="C7" s="97" t="s">
        <v>33</v>
      </c>
      <c r="D7" s="97" t="s">
        <v>38</v>
      </c>
    </row>
    <row r="8" spans="1:15" ht="14.25" x14ac:dyDescent="0.45">
      <c r="A8" s="100" t="s">
        <v>10</v>
      </c>
      <c r="B8" s="101" t="s">
        <v>39</v>
      </c>
      <c r="C8" s="101" t="s">
        <v>0</v>
      </c>
    </row>
    <row r="9" spans="1:15" ht="14.25" x14ac:dyDescent="0.45">
      <c r="A9" s="102" t="s">
        <v>40</v>
      </c>
      <c r="B9" s="101" t="s">
        <v>41</v>
      </c>
      <c r="C9" s="101" t="s">
        <v>0</v>
      </c>
    </row>
    <row r="10" spans="1:15" ht="32.25" customHeight="1" x14ac:dyDescent="0.45">
      <c r="A10" s="103" t="s">
        <v>11</v>
      </c>
      <c r="B10" s="104" t="s">
        <v>42</v>
      </c>
      <c r="C10" s="101" t="s">
        <v>0</v>
      </c>
    </row>
    <row r="16" spans="1:15" ht="15.75" x14ac:dyDescent="0.45">
      <c r="B16" s="96"/>
    </row>
    <row r="17" spans="2:2" ht="15.75" x14ac:dyDescent="0.45">
      <c r="B17" s="96"/>
    </row>
    <row r="21" spans="2:2" ht="15.75" customHeight="1" x14ac:dyDescent="0.45"/>
    <row r="22" spans="2:2" ht="15.75" customHeight="1" x14ac:dyDescent="0.45"/>
    <row r="23" spans="2:2" ht="15.75" customHeight="1" x14ac:dyDescent="0.45"/>
    <row r="24" spans="2:2" ht="15.75" customHeight="1" x14ac:dyDescent="0.45"/>
    <row r="25" spans="2:2" ht="15.75" customHeight="1" x14ac:dyDescent="0.45"/>
    <row r="26" spans="2:2" ht="15.75" customHeight="1" x14ac:dyDescent="0.45"/>
    <row r="27" spans="2:2" ht="15.75" customHeight="1" x14ac:dyDescent="0.45"/>
    <row r="28" spans="2:2" ht="15.75" customHeight="1" x14ac:dyDescent="0.45"/>
    <row r="29" spans="2:2" ht="15.75" customHeight="1" x14ac:dyDescent="0.45"/>
    <row r="30" spans="2:2" ht="15.75" customHeight="1" x14ac:dyDescent="0.45"/>
    <row r="31" spans="2:2" ht="15.75" customHeight="1" x14ac:dyDescent="0.45"/>
    <row r="32" spans="2: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3984375" defaultRowHeight="15" customHeight="1" x14ac:dyDescent="0.45"/>
  <cols>
    <col min="1" max="26" width="8.86328125" customWidth="1"/>
  </cols>
  <sheetData>
    <row r="1" spans="1:1" ht="14.25" x14ac:dyDescent="0.45">
      <c r="A1" s="97"/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AK1" workbookViewId="0">
      <selection activeCell="AR23" sqref="AR23:AR28"/>
    </sheetView>
  </sheetViews>
  <sheetFormatPr defaultColWidth="10.73046875" defaultRowHeight="14.25" x14ac:dyDescent="0.45"/>
  <cols>
    <col min="1" max="1" width="10.86328125" style="6"/>
    <col min="2" max="2" width="12.265625" bestFit="1" customWidth="1"/>
    <col min="3" max="9" width="15.73046875" customWidth="1"/>
    <col min="10" max="10" width="18.265625" customWidth="1"/>
    <col min="11" max="18" width="15.73046875" customWidth="1"/>
    <col min="19" max="19" width="18.265625" customWidth="1"/>
    <col min="20" max="20" width="15.73046875" style="113" customWidth="1"/>
    <col min="21" max="27" width="15.73046875" customWidth="1"/>
    <col min="28" max="28" width="17.265625" customWidth="1"/>
    <col min="29" max="36" width="15.73046875" customWidth="1"/>
    <col min="37" max="37" width="17.265625" customWidth="1"/>
    <col min="38" max="45" width="15.73046875" customWidth="1"/>
    <col min="46" max="46" width="18.265625" customWidth="1"/>
  </cols>
  <sheetData>
    <row r="1" spans="1:46" ht="16.149999999999999" thickTop="1" x14ac:dyDescent="0.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4.65" thickBot="1" x14ac:dyDescent="0.5">
      <c r="B2" s="141" t="s">
        <v>2</v>
      </c>
      <c r="C2" s="141"/>
      <c r="D2" s="141"/>
      <c r="E2" s="141"/>
      <c r="F2" s="141"/>
      <c r="G2" s="141"/>
      <c r="H2" s="141"/>
      <c r="I2" s="141"/>
      <c r="J2" s="142"/>
      <c r="K2" s="131" t="s">
        <v>3</v>
      </c>
      <c r="L2" s="137"/>
      <c r="M2" s="129"/>
      <c r="N2" s="129"/>
      <c r="O2" s="129"/>
      <c r="P2" s="129"/>
      <c r="Q2" s="129"/>
      <c r="R2" s="129"/>
      <c r="S2" s="132"/>
      <c r="T2" s="133" t="s">
        <v>4</v>
      </c>
      <c r="U2" s="138"/>
      <c r="V2" s="129"/>
      <c r="W2" s="129"/>
      <c r="X2" s="129"/>
      <c r="Y2" s="129"/>
      <c r="Z2" s="129"/>
      <c r="AA2" s="129"/>
      <c r="AB2" s="130"/>
      <c r="AC2" s="134" t="s">
        <v>5</v>
      </c>
      <c r="AD2" s="139"/>
      <c r="AE2" s="129"/>
      <c r="AF2" s="129"/>
      <c r="AG2" s="129"/>
      <c r="AH2" s="129"/>
      <c r="AI2" s="129"/>
      <c r="AJ2" s="129"/>
      <c r="AK2" s="132"/>
      <c r="AL2" s="135" t="s">
        <v>6</v>
      </c>
      <c r="AM2" s="140"/>
      <c r="AN2" s="129"/>
      <c r="AO2" s="129"/>
      <c r="AP2" s="129"/>
      <c r="AQ2" s="129"/>
      <c r="AR2" s="129"/>
      <c r="AS2" s="129"/>
      <c r="AT2" s="136"/>
    </row>
    <row r="3" spans="1:46" ht="14.65" thickBot="1" x14ac:dyDescent="0.5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4.65" thickTop="1" x14ac:dyDescent="0.4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4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4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4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4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4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4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4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4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4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4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4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4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4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4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4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4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4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4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4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4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4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4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4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4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4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4.65" thickBot="1" x14ac:dyDescent="0.5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4.65" thickTop="1" x14ac:dyDescent="0.45">
      <c r="R31" s="93"/>
    </row>
    <row r="32" spans="1:46" x14ac:dyDescent="0.45">
      <c r="R32" s="93"/>
    </row>
    <row r="33" spans="18:41" x14ac:dyDescent="0.45">
      <c r="R33" s="93"/>
    </row>
    <row r="38" spans="18:41" x14ac:dyDescent="0.45">
      <c r="AK38" s="93"/>
      <c r="AL38" s="93"/>
      <c r="AM38" s="93"/>
      <c r="AN38" s="93"/>
      <c r="AO38" s="93"/>
    </row>
    <row r="39" spans="18:41" x14ac:dyDescent="0.45">
      <c r="AK39" s="93"/>
      <c r="AL39" s="93"/>
      <c r="AM39" s="93"/>
      <c r="AN39" s="93"/>
      <c r="AO39" s="93"/>
    </row>
    <row r="40" spans="18:41" x14ac:dyDescent="0.45">
      <c r="AK40" s="93"/>
      <c r="AL40" s="93"/>
      <c r="AM40" s="93"/>
      <c r="AN40" s="93"/>
      <c r="AO40" s="93"/>
    </row>
    <row r="41" spans="18:41" x14ac:dyDescent="0.45">
      <c r="AK41" s="93"/>
      <c r="AL41" s="93"/>
      <c r="AM41" s="93"/>
      <c r="AN41" s="93"/>
      <c r="AO41" s="93"/>
    </row>
    <row r="42" spans="18:41" x14ac:dyDescent="0.4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I18" sqref="I18"/>
    </sheetView>
  </sheetViews>
  <sheetFormatPr defaultRowHeight="14.25" x14ac:dyDescent="0.45"/>
  <cols>
    <col min="1" max="1" width="9" style="117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4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27" t="s">
        <v>90</v>
      </c>
      <c r="O2" s="127" t="s">
        <v>91</v>
      </c>
      <c r="P2" s="120"/>
      <c r="Q2" s="120"/>
      <c r="R2" s="120"/>
    </row>
    <row r="3" spans="1:18" x14ac:dyDescent="0.4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26">
        <v>37742</v>
      </c>
      <c r="N3" s="120"/>
      <c r="O3" s="120"/>
      <c r="P3" s="120"/>
      <c r="Q3" s="120"/>
      <c r="R3" s="120"/>
    </row>
    <row r="4" spans="1:18" x14ac:dyDescent="0.4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26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4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26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4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26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4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26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4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4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4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4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4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4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workbookViewId="0">
      <selection activeCell="I20" sqref="I20"/>
    </sheetView>
  </sheetViews>
  <sheetFormatPr defaultRowHeight="14.25" x14ac:dyDescent="0.45"/>
  <cols>
    <col min="1" max="1" width="9" style="124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AD8-1039-4857-8402-F6AF1BAA9BC3}">
  <dimension ref="A1:R26"/>
  <sheetViews>
    <sheetView tabSelected="1" workbookViewId="0">
      <selection activeCell="G16" sqref="G16"/>
    </sheetView>
  </sheetViews>
  <sheetFormatPr defaultRowHeight="14.25" x14ac:dyDescent="0.45"/>
  <cols>
    <col min="1" max="1" width="9.06640625" style="125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v>1995</v>
      </c>
      <c r="B2" s="120">
        <f>Complete!AM4</f>
        <v>12856.1767578125</v>
      </c>
      <c r="C2" s="120">
        <f>Complete!AL4</f>
        <v>586.20799399667158</v>
      </c>
      <c r="D2" s="120">
        <f>Complete!AN4</f>
        <v>708.6611105390499</v>
      </c>
      <c r="E2" s="120">
        <f>Complete!AQ4</f>
        <v>3743.1464087225322</v>
      </c>
      <c r="F2" s="120">
        <f>Complete!AR4</f>
        <v>-2033.2748999334697</v>
      </c>
      <c r="G2" s="121"/>
      <c r="H2" s="120">
        <f>Complete!AT4</f>
        <v>10715241770.5819</v>
      </c>
      <c r="I2" s="121">
        <f>6027.9</f>
        <v>6027.9</v>
      </c>
      <c r="J2" s="120"/>
      <c r="K2" s="120"/>
      <c r="L2" s="120" t="s">
        <v>86</v>
      </c>
      <c r="M2" s="126">
        <v>36192</v>
      </c>
      <c r="N2" s="120"/>
      <c r="O2" s="120"/>
      <c r="P2" s="120"/>
      <c r="Q2" s="120"/>
      <c r="R2" s="120"/>
    </row>
    <row r="3" spans="1:18" x14ac:dyDescent="0.45">
      <c r="A3" s="122">
        <f>A2+1</f>
        <v>1996</v>
      </c>
      <c r="B3" s="120">
        <f>Complete!AM5</f>
        <v>12830.7431640625</v>
      </c>
      <c r="C3" s="120">
        <f>Complete!AL5</f>
        <v>573.16822000087109</v>
      </c>
      <c r="D3" s="120">
        <f>Complete!AN5</f>
        <v>693.50128183178151</v>
      </c>
      <c r="E3" s="120">
        <f>Complete!AQ5</f>
        <v>3396.8647363718192</v>
      </c>
      <c r="F3" s="120">
        <f>Complete!AR5</f>
        <v>-1574.8992070749443</v>
      </c>
      <c r="G3" s="121"/>
      <c r="H3" s="120">
        <f>Complete!AT5</f>
        <v>16019843786.826</v>
      </c>
      <c r="I3" s="121">
        <v>-6741.6</v>
      </c>
      <c r="J3" s="120"/>
      <c r="K3" s="120"/>
      <c r="L3" s="120" t="s">
        <v>85</v>
      </c>
      <c r="M3" s="126">
        <v>37622</v>
      </c>
      <c r="N3" s="120">
        <f>DATEDIF(M2,M3,"y")</f>
        <v>3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 t="shared" ref="A4:A26" si="0">A3+1</f>
        <v>1997</v>
      </c>
      <c r="B4" s="120">
        <f>Complete!AM6</f>
        <v>13648.1796875</v>
      </c>
      <c r="C4" s="120">
        <f>Complete!AL6</f>
        <v>597.61508339506224</v>
      </c>
      <c r="D4" s="120">
        <f>Complete!AN6</f>
        <v>696.04941471599807</v>
      </c>
      <c r="E4" s="120">
        <f>Complete!AQ6</f>
        <v>3356.0166807349306</v>
      </c>
      <c r="F4" s="120">
        <f>Complete!AR6</f>
        <v>-953.93705573493025</v>
      </c>
      <c r="G4" s="121"/>
      <c r="H4" s="120">
        <f>Complete!AT6</f>
        <v>17703782561.633801</v>
      </c>
      <c r="I4" s="121">
        <v>-7499.5</v>
      </c>
      <c r="J4" s="120"/>
      <c r="K4" s="120"/>
      <c r="L4" s="120" t="s">
        <v>87</v>
      </c>
      <c r="M4" s="126">
        <v>39600</v>
      </c>
      <c r="N4" s="120">
        <f t="shared" ref="N4:N5" si="1">DATEDIF(M3,M4,"y")</f>
        <v>5</v>
      </c>
      <c r="O4" s="120">
        <f t="shared" ref="O4:O5" si="2">DATEDIF(M3,M4,"ym")</f>
        <v>5</v>
      </c>
      <c r="P4" s="120"/>
      <c r="Q4" s="120"/>
      <c r="R4" s="120"/>
    </row>
    <row r="5" spans="1:18" x14ac:dyDescent="0.45">
      <c r="A5" s="122">
        <f t="shared" si="0"/>
        <v>1998</v>
      </c>
      <c r="B5" s="120">
        <f>Complete!AM7</f>
        <v>13688.3017578125</v>
      </c>
      <c r="C5" s="120">
        <f>Complete!AL7</f>
        <v>587.76924836638716</v>
      </c>
      <c r="D5" s="120">
        <f>Complete!AN7</f>
        <v>745.74717459753447</v>
      </c>
      <c r="E5" s="120">
        <f>Complete!AQ7</f>
        <v>3189.3717982720846</v>
      </c>
      <c r="F5" s="120">
        <f>Complete!AR7</f>
        <v>-1423.5808715142721</v>
      </c>
      <c r="G5" s="121"/>
      <c r="H5" s="120">
        <f>Complete!AT7</f>
        <v>14728840876.6402</v>
      </c>
      <c r="I5" s="121">
        <v>-7269.3</v>
      </c>
      <c r="J5" s="120"/>
      <c r="K5" s="120"/>
      <c r="L5" s="120" t="s">
        <v>88</v>
      </c>
      <c r="M5" s="126">
        <f ca="1">TODAY()</f>
        <v>44683</v>
      </c>
      <c r="N5" s="120">
        <f t="shared" ca="1" si="1"/>
        <v>13</v>
      </c>
      <c r="O5" s="120">
        <f t="shared" ca="1" si="2"/>
        <v>11</v>
      </c>
      <c r="P5" s="120"/>
      <c r="Q5" s="120"/>
      <c r="R5" s="120"/>
    </row>
    <row r="6" spans="1:18" x14ac:dyDescent="0.45">
      <c r="A6" s="122">
        <f t="shared" si="0"/>
        <v>1999</v>
      </c>
      <c r="B6" s="120">
        <f>Complete!AM8</f>
        <v>12871.0361328125</v>
      </c>
      <c r="C6" s="120">
        <f>Complete!AL8</f>
        <v>542.17027539537867</v>
      </c>
      <c r="D6" s="120">
        <f>Complete!AN8</f>
        <v>681.89327783187468</v>
      </c>
      <c r="E6" s="120">
        <f>Complete!AQ8</f>
        <v>2464.161399519071</v>
      </c>
      <c r="F6" s="120">
        <f>Complete!AR8</f>
        <v>-687.95841319094598</v>
      </c>
      <c r="G6" s="121"/>
      <c r="H6" s="120">
        <f>Complete!AT8</f>
        <v>15110150345.584801</v>
      </c>
      <c r="I6" s="121">
        <v>-6339.7</v>
      </c>
      <c r="J6" s="120"/>
      <c r="K6" s="120"/>
      <c r="L6" s="120" t="s">
        <v>89</v>
      </c>
      <c r="M6" s="126"/>
      <c r="N6" s="120">
        <f ca="1">DATEDIF(M2,M5,"y")</f>
        <v>23</v>
      </c>
      <c r="O6" s="120">
        <f ca="1">DATEDIF(M2,M5,"ym")</f>
        <v>3</v>
      </c>
      <c r="P6" s="120"/>
      <c r="Q6" s="120"/>
      <c r="R6" s="120"/>
    </row>
    <row r="7" spans="1:18" x14ac:dyDescent="0.45">
      <c r="A7" s="122">
        <f t="shared" si="0"/>
        <v>2000</v>
      </c>
      <c r="B7" s="120">
        <f>Complete!AM9</f>
        <v>13345.59375</v>
      </c>
      <c r="C7" s="120">
        <f>Complete!AL9</f>
        <v>551.64301079766801</v>
      </c>
      <c r="D7" s="120">
        <f>Complete!AN9</f>
        <v>620.09122613804743</v>
      </c>
      <c r="E7" s="120">
        <f>Complete!AQ9</f>
        <v>2028.443877430167</v>
      </c>
      <c r="F7" s="120">
        <f>Complete!AR9</f>
        <v>-213.44312743016712</v>
      </c>
      <c r="G7" s="121"/>
      <c r="H7" s="120">
        <f>Complete!AT9</f>
        <v>15898851162.5221</v>
      </c>
      <c r="I7" s="121">
        <v>-6634.2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 t="shared" si="0"/>
        <v>2001</v>
      </c>
      <c r="B8" s="120">
        <f>Complete!AM10</f>
        <v>13798.5791015625</v>
      </c>
      <c r="C8" s="120">
        <f>Complete!AL10</f>
        <v>559.86021453952924</v>
      </c>
      <c r="D8" s="120">
        <f>Complete!AN10</f>
        <v>653.68611749721254</v>
      </c>
      <c r="E8" s="120">
        <f>Complete!AQ10</f>
        <v>2186.7945460695773</v>
      </c>
      <c r="F8" s="120">
        <f>Complete!AR10</f>
        <v>-503.36789567895244</v>
      </c>
      <c r="G8" s="121"/>
      <c r="H8" s="120">
        <f>Complete!AT10</f>
        <v>12264400222.6423</v>
      </c>
      <c r="I8" s="121">
        <v>-6976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 t="shared" si="0"/>
        <v>2002</v>
      </c>
      <c r="B9" s="120">
        <f>Complete!AM11</f>
        <v>12576.6162109375</v>
      </c>
      <c r="C9" s="120">
        <f>Complete!AL11</f>
        <v>501.0522622157178</v>
      </c>
      <c r="D9" s="120">
        <f>Complete!AN11</f>
        <v>530.59430767423078</v>
      </c>
      <c r="E9" s="120">
        <f>Complete!AQ11</f>
        <v>1864.6030893322313</v>
      </c>
      <c r="F9" s="120">
        <f>Complete!AR11</f>
        <v>-456.02207370723136</v>
      </c>
      <c r="G9" s="121"/>
      <c r="H9" s="120">
        <f>Complete!AT11</f>
        <v>12106510810.7652</v>
      </c>
      <c r="I9" s="121">
        <v>-5894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 t="shared" si="0"/>
        <v>2003</v>
      </c>
      <c r="B10" s="120">
        <f>Complete!AM12</f>
        <v>11601.2734375</v>
      </c>
      <c r="C10" s="120">
        <f>Complete!AL12</f>
        <v>454.0327236147495</v>
      </c>
      <c r="D10" s="120">
        <f>Complete!AN12</f>
        <v>438.48929554838304</v>
      </c>
      <c r="E10" s="120">
        <f>Complete!AQ12</f>
        <v>1804.6657649372937</v>
      </c>
      <c r="F10" s="120">
        <f>Complete!AR12</f>
        <v>-424.11422587479387</v>
      </c>
      <c r="G10" s="121"/>
      <c r="H10" s="120">
        <f>Complete!AT12</f>
        <v>20820560020.651299</v>
      </c>
      <c r="I10" s="121">
        <v>-5614.1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 t="shared" si="0"/>
        <v>2004</v>
      </c>
      <c r="B11" s="120">
        <f>Complete!AM13</f>
        <v>13722.728515625</v>
      </c>
      <c r="C11" s="120">
        <f>Complete!AL13</f>
        <v>527.86640109950565</v>
      </c>
      <c r="D11" s="120">
        <f>Complete!AN13</f>
        <v>503.6583047292886</v>
      </c>
      <c r="E11" s="120">
        <f>Complete!AQ13</f>
        <v>1813.3991955954698</v>
      </c>
      <c r="F11" s="120">
        <f>Complete!AR13</f>
        <v>11.723696982655383</v>
      </c>
      <c r="G11" s="121"/>
      <c r="H11" s="120">
        <f>Complete!AT13</f>
        <v>23408050057.212799</v>
      </c>
      <c r="I11" s="121">
        <v>-6553.8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 t="shared" si="0"/>
        <v>2005</v>
      </c>
      <c r="B12" s="120">
        <f>Complete!AM14</f>
        <v>15138.626953125</v>
      </c>
      <c r="C12" s="120">
        <f>Complete!AL14</f>
        <v>572.72892491281641</v>
      </c>
      <c r="D12" s="120">
        <f>Complete!AN14</f>
        <v>516.0866499814482</v>
      </c>
      <c r="E12" s="120">
        <f>Complete!AQ14</f>
        <v>1708.2401357556519</v>
      </c>
      <c r="F12" s="120">
        <f>Complete!AR14</f>
        <v>698.8015497912229</v>
      </c>
      <c r="G12" s="121"/>
      <c r="H12" s="120">
        <f>Complete!AT14</f>
        <v>29802940547.694599</v>
      </c>
      <c r="I12" s="121">
        <f>--6955.9</f>
        <v>6955.9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 t="shared" si="0"/>
        <v>2006</v>
      </c>
      <c r="B13" s="120">
        <f>Complete!AM15</f>
        <v>16633.142578125</v>
      </c>
      <c r="C13" s="120">
        <f>Complete!AL15</f>
        <v>619.47941896155396</v>
      </c>
      <c r="D13" s="120">
        <f>Complete!AN15</f>
        <v>569.62010019242348</v>
      </c>
      <c r="E13" s="120">
        <f>Complete!AQ15</f>
        <v>1872.7964094239578</v>
      </c>
      <c r="F13" s="120">
        <f>Complete!AR15</f>
        <v>838.40583081041768</v>
      </c>
      <c r="G13" s="121"/>
      <c r="H13" s="120">
        <f>Complete!AT15</f>
        <v>36715128120.243797</v>
      </c>
      <c r="I13" s="121">
        <v>-6655.5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 t="shared" si="0"/>
        <v>2007</v>
      </c>
      <c r="B14" s="120">
        <f>Complete!AM16</f>
        <v>18089.162109375</v>
      </c>
      <c r="C14" s="120">
        <f>Complete!AL16</f>
        <v>663.88068932926603</v>
      </c>
      <c r="D14" s="120">
        <f>Complete!AN16</f>
        <v>641.48323676677342</v>
      </c>
      <c r="E14" s="120">
        <f>Complete!AQ16</f>
        <v>2193.4612443112565</v>
      </c>
      <c r="F14" s="120">
        <f>Complete!AR16</f>
        <v>845.51799006374358</v>
      </c>
      <c r="G14" s="121"/>
      <c r="H14" s="120">
        <f>Complete!AT16</f>
        <v>33759218864.923599</v>
      </c>
      <c r="I14" s="121">
        <v>-6377.6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 t="shared" si="0"/>
        <v>2008</v>
      </c>
      <c r="B15" s="120">
        <f>Complete!AM17</f>
        <v>19043.876953125</v>
      </c>
      <c r="C15" s="120">
        <f>Complete!AL17</f>
        <v>689.1009090345101</v>
      </c>
      <c r="D15" s="120">
        <f>Complete!AN17</f>
        <v>602.49919688628734</v>
      </c>
      <c r="E15" s="120">
        <f>Complete!AQ17</f>
        <v>2214.966093924595</v>
      </c>
      <c r="F15" s="120">
        <f>Complete!AR17</f>
        <v>470.22055646602985</v>
      </c>
      <c r="G15" s="121"/>
      <c r="H15" s="120">
        <f>Complete!AT17</f>
        <v>43065463087.277802</v>
      </c>
      <c r="I15" s="121">
        <v>-6560.6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 t="shared" si="0"/>
        <v>2009</v>
      </c>
      <c r="B16" s="120">
        <f>Complete!AM18</f>
        <v>18434.017578125</v>
      </c>
      <c r="C16" s="120">
        <f>Complete!AL18</f>
        <v>657.6294694966208</v>
      </c>
      <c r="D16" s="120">
        <f>Complete!AN18</f>
        <v>685.61976231428537</v>
      </c>
      <c r="E16" s="120">
        <f>Complete!AQ18</f>
        <v>2663.6158699506195</v>
      </c>
      <c r="F16" s="120">
        <f>Complete!AR18</f>
        <v>-27.551356278744606</v>
      </c>
      <c r="G16" s="121">
        <f>Complete!AS18</f>
        <v>27.0809414466131</v>
      </c>
      <c r="H16" s="120">
        <f>Complete!AT18</f>
        <v>34317956993.545799</v>
      </c>
      <c r="I16" s="121">
        <v>-5886.4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 t="shared" si="0"/>
        <v>2010</v>
      </c>
      <c r="B17" s="120">
        <f>Complete!AM19</f>
        <v>18159.578125</v>
      </c>
      <c r="C17" s="120">
        <f>Complete!AL19</f>
        <v>638.52378468449649</v>
      </c>
      <c r="D17" s="120">
        <f>Complete!AN19</f>
        <v>555.75092442582945</v>
      </c>
      <c r="E17" s="120">
        <f>Complete!AQ19</f>
        <v>2436.4756618614774</v>
      </c>
      <c r="F17" s="120">
        <f>Complete!AR19</f>
        <v>-275.48586498647728</v>
      </c>
      <c r="G17" s="121">
        <f>Complete!AS19</f>
        <v>28.187464709203901</v>
      </c>
      <c r="H17" s="120">
        <f>Complete!AT19</f>
        <v>29665473906.390499</v>
      </c>
      <c r="I17" s="121">
        <v>-5283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 t="shared" si="0"/>
        <v>2011</v>
      </c>
      <c r="B18" s="120">
        <f>Complete!AM20</f>
        <v>18918.013671875</v>
      </c>
      <c r="C18" s="120">
        <f>Complete!AL20</f>
        <v>654.87732575526331</v>
      </c>
      <c r="D18" s="120">
        <f>Complete!AN20</f>
        <v>565.8536593595984</v>
      </c>
      <c r="E18" s="120">
        <f>Complete!AQ20</f>
        <v>2676.1295562908344</v>
      </c>
      <c r="F18" s="120">
        <f>Complete!AR20</f>
        <v>-216.78777894708446</v>
      </c>
      <c r="G18" s="121">
        <f>Complete!AS20</f>
        <v>26.090212316095499</v>
      </c>
      <c r="H18" s="120">
        <f>Complete!AT20</f>
        <v>27934651458.855598</v>
      </c>
      <c r="I18" s="121">
        <v>-5661.6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 t="shared" si="0"/>
        <v>2012</v>
      </c>
      <c r="B19" s="120">
        <f>Complete!AM21</f>
        <v>19982.3203125</v>
      </c>
      <c r="C19" s="120">
        <f>Complete!AL21</f>
        <v>680.57733887150425</v>
      </c>
      <c r="D19" s="120">
        <f>Complete!AN21</f>
        <v>648.55443995007647</v>
      </c>
      <c r="E19" s="120">
        <f>Complete!AQ21</f>
        <v>2801.0982707322109</v>
      </c>
      <c r="F19" s="120">
        <f>Complete!AR21</f>
        <v>56.373533955289076</v>
      </c>
      <c r="G19" s="121">
        <f>Complete!AS21</f>
        <v>21.0689956331878</v>
      </c>
      <c r="H19" s="120">
        <f>Complete!AT21</f>
        <v>29468789162.6861</v>
      </c>
      <c r="I19" s="121">
        <v>-5420.6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 t="shared" si="0"/>
        <v>2013</v>
      </c>
      <c r="B20" s="120">
        <f>Complete!AM22</f>
        <v>20250.708984375</v>
      </c>
      <c r="C20" s="120">
        <f>Complete!AL22</f>
        <v>679.98662855209227</v>
      </c>
      <c r="D20" s="120">
        <f>Complete!AN22</f>
        <v>635.41777164386974</v>
      </c>
      <c r="E20" s="120">
        <f>Complete!AQ22</f>
        <v>3204.5438154155854</v>
      </c>
      <c r="F20" s="120">
        <f>Complete!AR22</f>
        <v>-288.44172166558519</v>
      </c>
      <c r="G20" s="121">
        <f>Complete!AS22</f>
        <v>40.639427516158797</v>
      </c>
      <c r="H20" s="120">
        <f>Complete!AT22</f>
        <v>20275216409.445702</v>
      </c>
      <c r="I20" s="121">
        <v>-5079.6000000000004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A20+1</f>
        <v>2014</v>
      </c>
      <c r="B21" s="120">
        <f>Complete!AM23</f>
        <v>19462.0625</v>
      </c>
      <c r="C21" s="120">
        <f>Complete!AL23</f>
        <v>647.80758345846527</v>
      </c>
      <c r="D21" s="120">
        <f>Complete!AN23</f>
        <v>733.02848106752617</v>
      </c>
      <c r="E21" s="120">
        <f>Complete!AQ23</f>
        <v>3599.7734110001475</v>
      </c>
      <c r="F21" s="120"/>
      <c r="G21" s="121">
        <f>Complete!AS23</f>
        <v>62.168649979483</v>
      </c>
      <c r="H21" s="120">
        <f>Complete!AT23</f>
        <v>21454894042.424301</v>
      </c>
      <c r="I21" s="121">
        <v>-5259.1</v>
      </c>
    </row>
    <row r="22" spans="1:18" x14ac:dyDescent="0.45">
      <c r="A22" s="122">
        <f t="shared" si="0"/>
        <v>2015</v>
      </c>
      <c r="B22" s="120">
        <f>Complete!AM24</f>
        <v>18251.255859375</v>
      </c>
      <c r="C22" s="120">
        <f>Complete!AL24</f>
        <v>606.72028483956217</v>
      </c>
      <c r="D22" s="120">
        <f>Complete!AN24</f>
        <v>602.71018731718164</v>
      </c>
      <c r="E22" s="120">
        <f>Complete!AQ24</f>
        <v>3127.0369820223714</v>
      </c>
      <c r="F22" s="120"/>
      <c r="G22" s="121">
        <f>Complete!AS24</f>
        <v>121.738085297504</v>
      </c>
      <c r="H22" s="120">
        <f>Complete!AT24</f>
        <v>15625329211.522301</v>
      </c>
      <c r="I22" s="121">
        <v>-4988.3999999999996</v>
      </c>
    </row>
    <row r="23" spans="1:18" x14ac:dyDescent="0.45">
      <c r="A23" s="122">
        <f t="shared" si="0"/>
        <v>2016</v>
      </c>
      <c r="B23" s="120">
        <f>Complete!AM25</f>
        <v>15141.1796875</v>
      </c>
      <c r="C23" s="120">
        <f>Complete!AL25</f>
        <v>507.22087521948413</v>
      </c>
      <c r="D23" s="120">
        <f>Complete!AN25</f>
        <v>509.01632465572641</v>
      </c>
      <c r="E23" s="120">
        <f>Complete!AQ25</f>
        <v>3417.8440152186668</v>
      </c>
      <c r="F23" s="120"/>
      <c r="G23" s="121">
        <f>Complete!AS25</f>
        <v>254.948534781815</v>
      </c>
      <c r="H23" s="120">
        <f>Complete!AT25</f>
        <v>10150000483.5116</v>
      </c>
      <c r="I23" s="121">
        <v>-4598.6000000000004</v>
      </c>
    </row>
    <row r="24" spans="1:18" x14ac:dyDescent="0.45">
      <c r="A24" s="122">
        <f t="shared" si="0"/>
        <v>2017</v>
      </c>
      <c r="B24" s="120">
        <f>Complete!AM26</f>
        <v>12768.3447265625</v>
      </c>
      <c r="C24" s="120">
        <f>Complete!AL26</f>
        <v>434.26074907693175</v>
      </c>
      <c r="D24" s="120">
        <f>Complete!AN26</f>
        <v>439.55311495820638</v>
      </c>
      <c r="E24" s="120">
        <f>Complete!AQ26</f>
        <v>2751.2272165080503</v>
      </c>
      <c r="F24" s="120"/>
      <c r="G24" s="121"/>
      <c r="H24" s="120">
        <f>Complete!AT26</f>
        <v>9794062064.6210804</v>
      </c>
      <c r="I24" s="121">
        <v>-3880.5</v>
      </c>
    </row>
    <row r="25" spans="1:18" x14ac:dyDescent="0.45">
      <c r="A25" s="122">
        <f>A24+1</f>
        <v>2018</v>
      </c>
      <c r="B25" s="120">
        <f>Complete!AM27</f>
        <v>10263.009765625</v>
      </c>
      <c r="C25" s="120">
        <f>Complete!AL27</f>
        <v>355.27980900084947</v>
      </c>
      <c r="D25" s="120">
        <f>Complete!AN27</f>
        <v>363.90050974280365</v>
      </c>
      <c r="E25" s="120">
        <f>Complete!AQ27</f>
        <v>2159.0286426102684</v>
      </c>
      <c r="F25" s="120"/>
      <c r="G25" s="121"/>
      <c r="H25" s="120"/>
      <c r="I25" s="121">
        <v>-3056.5</v>
      </c>
    </row>
    <row r="26" spans="1:18" x14ac:dyDescent="0.45">
      <c r="A26" s="122">
        <f t="shared" si="0"/>
        <v>2019</v>
      </c>
      <c r="B26" s="120">
        <f>Complete!AM28</f>
        <v>6670.9560546875</v>
      </c>
      <c r="C26" s="120">
        <f>Complete!AL28</f>
        <v>233.93870312125591</v>
      </c>
      <c r="D26" s="120">
        <f>Complete!AN28</f>
        <v>244.47438392369375</v>
      </c>
      <c r="E26" s="120">
        <f>Complete!AQ28</f>
        <v>1403.4666687914578</v>
      </c>
      <c r="F26" s="120"/>
      <c r="G26" s="121"/>
      <c r="H26" s="120"/>
      <c r="I26" s="121">
        <v>-1981.6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3046875" defaultRowHeight="14.25" x14ac:dyDescent="0.45"/>
  <cols>
    <col min="2" max="2" width="12.1328125" bestFit="1" customWidth="1"/>
    <col min="10" max="10" width="12.1328125" bestFit="1" customWidth="1"/>
    <col min="30" max="30" width="11.73046875" bestFit="1" customWidth="1"/>
  </cols>
  <sheetData>
    <row r="1" spans="1:35" x14ac:dyDescent="0.45">
      <c r="A1" t="s">
        <v>50</v>
      </c>
      <c r="B1" s="143" t="s">
        <v>75</v>
      </c>
      <c r="C1" s="143"/>
      <c r="D1" s="143"/>
      <c r="E1" s="143"/>
      <c r="F1" s="143"/>
      <c r="H1" s="115" t="s">
        <v>50</v>
      </c>
      <c r="I1" s="143" t="str">
        <f>Complete!AD3</f>
        <v>GDP</v>
      </c>
      <c r="J1" s="143"/>
      <c r="K1" s="143"/>
      <c r="L1" s="143"/>
      <c r="M1" s="143"/>
      <c r="O1" t="s">
        <v>50</v>
      </c>
      <c r="P1" s="143" t="s">
        <v>30</v>
      </c>
      <c r="Q1" s="143"/>
      <c r="R1" s="143"/>
      <c r="S1" s="143"/>
      <c r="T1" s="143"/>
      <c r="V1" t="s">
        <v>50</v>
      </c>
      <c r="W1" s="143" t="s">
        <v>28</v>
      </c>
      <c r="X1" s="143"/>
      <c r="Y1" s="143"/>
      <c r="Z1" s="143"/>
      <c r="AA1" s="143"/>
      <c r="AD1" s="143"/>
      <c r="AE1" s="143"/>
      <c r="AF1" s="143"/>
      <c r="AG1" s="143"/>
      <c r="AH1" s="143"/>
    </row>
    <row r="2" spans="1:35" x14ac:dyDescent="0.4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4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4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4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4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4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4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4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4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4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4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4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4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4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4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4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4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4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4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4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4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4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4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4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4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4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NX ENERGY</vt:lpstr>
      <vt:lpstr>Variables</vt:lpstr>
      <vt:lpstr>D&amp;E</vt:lpstr>
      <vt:lpstr>Complete</vt:lpstr>
      <vt:lpstr>ARG</vt:lpstr>
      <vt:lpstr>ECU</vt:lpstr>
      <vt:lpstr>VEN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2022-05-03T02:51:07Z</dcterms:modified>
</cp:coreProperties>
</file>